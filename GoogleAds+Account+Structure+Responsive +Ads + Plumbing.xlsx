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 Settings" sheetId="1" r:id="rId4"/>
    <sheet state="visible" name="Ad Groups" sheetId="2" r:id="rId5"/>
    <sheet state="visible" name="Keywords" sheetId="3" r:id="rId6"/>
    <sheet state="visible" name="Negative Keywords" sheetId="4" r:id="rId7"/>
    <sheet state="visible" name="Responsive Ads" sheetId="5" r:id="rId8"/>
    <sheet state="visible" name="Sitelinks" sheetId="6" r:id="rId9"/>
  </sheets>
  <definedNames/>
  <calcPr/>
  <extLst>
    <ext uri="GoogleSheetsCustomDataVersion2">
      <go:sheetsCustomData xmlns:go="http://customooxmlschemas.google.com/" r:id="rId10" roundtripDataChecksum="MdPETqXxdZSJaWKAm3GSAnt6RkWWrNrrtmIt9ybdxx8="/>
    </ext>
  </extLst>
</workbook>
</file>

<file path=xl/sharedStrings.xml><?xml version="1.0" encoding="utf-8"?>
<sst xmlns="http://schemas.openxmlformats.org/spreadsheetml/2006/main" count="754" uniqueCount="298">
  <si>
    <t>Campaign Settings:</t>
  </si>
  <si>
    <t>Location Targeting</t>
  </si>
  <si>
    <t>Sandton, Gauteng, South Africa</t>
  </si>
  <si>
    <t xml:space="preserve">Location Exclusions </t>
  </si>
  <si>
    <t>N/a</t>
  </si>
  <si>
    <t>Campaign Level Negatives -</t>
  </si>
  <si>
    <t xml:space="preserve"> See Keywords</t>
  </si>
  <si>
    <t>Call Extensions</t>
  </si>
  <si>
    <t>Location Extensions</t>
  </si>
  <si>
    <t>Scheduling</t>
  </si>
  <si>
    <t>24/7</t>
  </si>
  <si>
    <t>Budget</t>
  </si>
  <si>
    <t>Campaign</t>
  </si>
  <si>
    <t>Ad Groups</t>
  </si>
  <si>
    <t>Total Ad Groups</t>
  </si>
  <si>
    <t>Campaign 1</t>
  </si>
  <si>
    <t>Emergency Plumbing</t>
  </si>
  <si>
    <t>Residential Plumbing</t>
  </si>
  <si>
    <t>Commercial Plumbing</t>
  </si>
  <si>
    <t>Leak Detection</t>
  </si>
  <si>
    <t>Drain Cleaning</t>
  </si>
  <si>
    <t>Geyser Replacement &amp; Repairs</t>
  </si>
  <si>
    <t>"Emergency Plumber Near Me"</t>
  </si>
  <si>
    <t>"Residential Plumbers"</t>
  </si>
  <si>
    <t>"Commercial Plumbing Contractors"</t>
  </si>
  <si>
    <t>"Water Leak Detection Service"</t>
  </si>
  <si>
    <t>"Blocked Drain Plumber"</t>
  </si>
  <si>
    <t>"Geyser Repair Johannesburg"</t>
  </si>
  <si>
    <t>"24 Hour Plumber Johannesburg"</t>
  </si>
  <si>
    <t>"Local Plumber For Home"</t>
  </si>
  <si>
    <t>"Office Building Plumber"</t>
  </si>
  <si>
    <t>"Find Hidden Water Leak"</t>
  </si>
  <si>
    <t>"Drain Cleaning Services"</t>
  </si>
  <si>
    <t>"Burst Geyser Replacement"</t>
  </si>
  <si>
    <t>"Emergency Plumbing Services"</t>
  </si>
  <si>
    <t>"Household Plumbing Repairs"</t>
  </si>
  <si>
    <t>"Commercial Maintenance Plumbing"</t>
  </si>
  <si>
    <t>"Leak Detection Company"</t>
  </si>
  <si>
    <t>"Unblock Sewer Line"</t>
  </si>
  <si>
    <t>"Solar Geyser Installers"</t>
  </si>
  <si>
    <t>"Burst Pipe Emergency Plumber"</t>
  </si>
  <si>
    <t>"Toilet Repair Plumber"</t>
  </si>
  <si>
    <t>"Industrial Plumbing Services"</t>
  </si>
  <si>
    <t>"Underground Leak Detection"</t>
  </si>
  <si>
    <t>"Clogged Drain Repair"</t>
  </si>
  <si>
    <t>"No Hot Water Plumber"</t>
  </si>
  <si>
    <t>[Emergency Plumber Near Me]</t>
  </si>
  <si>
    <t>[Residential Plumbers]</t>
  </si>
  <si>
    <t>[Commercial Plumbing Contractors]</t>
  </si>
  <si>
    <t>[Water Leak Detection Service]</t>
  </si>
  <si>
    <t>[Blocked Drain Plumber]</t>
  </si>
  <si>
    <t>[Geyser Repair Johannesburg]</t>
  </si>
  <si>
    <t>[24 Hour Plumber Johannesburg]</t>
  </si>
  <si>
    <t>[Local Plumber For Home]</t>
  </si>
  <si>
    <t>[Office Building Plumber]</t>
  </si>
  <si>
    <t>[Find Hidden Water Leak]</t>
  </si>
  <si>
    <t>[Drain Cleaning Services]</t>
  </si>
  <si>
    <t>[Burst Geyser Replacement]</t>
  </si>
  <si>
    <t>[Emergency Plumbing Services]</t>
  </si>
  <si>
    <t>[Household Plumbing Repairs]</t>
  </si>
  <si>
    <t>[Commercial Maintenance Plumbing]</t>
  </si>
  <si>
    <t>[Leak Detection Company]</t>
  </si>
  <si>
    <t>[Unblock Sewer Line]</t>
  </si>
  <si>
    <t>[Solar Geyser Installers]</t>
  </si>
  <si>
    <t>[Burst Pipe Emergency Plumber]</t>
  </si>
  <si>
    <t>[Toilet Repair Plumber]</t>
  </si>
  <si>
    <t>[Industrial Plumbing Services]</t>
  </si>
  <si>
    <t>[Underground Leak Detection]</t>
  </si>
  <si>
    <t>[Clogged Drain Repair]</t>
  </si>
  <si>
    <t>[No Hot Water Plumber]</t>
  </si>
  <si>
    <t>Campaign Negative</t>
  </si>
  <si>
    <t>advice</t>
  </si>
  <si>
    <t>blog</t>
  </si>
  <si>
    <t>careers</t>
  </si>
  <si>
    <t>degree</t>
  </si>
  <si>
    <t>free</t>
  </si>
  <si>
    <t>how to</t>
  </si>
  <si>
    <t>ideas</t>
  </si>
  <si>
    <t>jobs</t>
  </si>
  <si>
    <t>login</t>
  </si>
  <si>
    <t>news</t>
  </si>
  <si>
    <t>pay</t>
  </si>
  <si>
    <t xml:space="preserve">plan </t>
  </si>
  <si>
    <t>plans</t>
  </si>
  <si>
    <t>podcast</t>
  </si>
  <si>
    <t>review</t>
  </si>
  <si>
    <t>salary</t>
  </si>
  <si>
    <t>software</t>
  </si>
  <si>
    <t>strategies</t>
  </si>
  <si>
    <t>strategy</t>
  </si>
  <si>
    <t>tips</t>
  </si>
  <si>
    <t>tools</t>
  </si>
  <si>
    <t>video</t>
  </si>
  <si>
    <t>what is</t>
  </si>
  <si>
    <t>course</t>
  </si>
  <si>
    <t>major</t>
  </si>
  <si>
    <t>help</t>
  </si>
  <si>
    <t>Headline 1 (30)</t>
  </si>
  <si>
    <t>Emergency Plumber Near Me</t>
  </si>
  <si>
    <t>Local Residential Plumbers</t>
  </si>
  <si>
    <t>Commercial Plumbers</t>
  </si>
  <si>
    <t>Water Leak Detection</t>
  </si>
  <si>
    <t>Blocked Drain Plumber</t>
  </si>
  <si>
    <t>Geyser Repairs Johannesburg</t>
  </si>
  <si>
    <t>Headline 2 (30)</t>
  </si>
  <si>
    <t>24/7 Emergency Plumbing</t>
  </si>
  <si>
    <t>Home Plumbing Services</t>
  </si>
  <si>
    <t>Plumbing For Businesses</t>
  </si>
  <si>
    <t>Find Hidden Water Leaks</t>
  </si>
  <si>
    <t>Professional Drain Cleaning</t>
  </si>
  <si>
    <t>Burst Geyser Replacement</t>
  </si>
  <si>
    <t>Headline 3 (30)</t>
  </si>
  <si>
    <t>Burst Pipe Repair Now</t>
  </si>
  <si>
    <t>Expert Toilet &amp; Tap Repair</t>
  </si>
  <si>
    <t>Office Plumbing Repairs</t>
  </si>
  <si>
    <t>High Water Bill Solutions</t>
  </si>
  <si>
    <t>Unblock Sewer Lines Fast</t>
  </si>
  <si>
    <t>No Hot Water Solutions</t>
  </si>
  <si>
    <t>Headline 4 (30)</t>
  </si>
  <si>
    <t>Fast Local Plumbers</t>
  </si>
  <si>
    <t>Affordable Household Plumber</t>
  </si>
  <si>
    <t>Commercial Contractors</t>
  </si>
  <si>
    <t>Advanced Leak Detection</t>
  </si>
  <si>
    <t>Clogged Drain Repairs</t>
  </si>
  <si>
    <t>Geyser Element Replacement</t>
  </si>
  <si>
    <t>Headline 5 (30)</t>
  </si>
  <si>
    <t>Available 24 Hours A Day</t>
  </si>
  <si>
    <t>Trusted Home Repairs</t>
  </si>
  <si>
    <t>Property Maintenance Care</t>
  </si>
  <si>
    <t>Stop Water Leaks Fast</t>
  </si>
  <si>
    <t>Clear Blocked Drains Now</t>
  </si>
  <si>
    <t>Solar Geyser Installation</t>
  </si>
  <si>
    <t>Headline 6 (30)</t>
  </si>
  <si>
    <t>Rapid On-Site Response</t>
  </si>
  <si>
    <t>Fix Leaky Taps &amp; Toilets</t>
  </si>
  <si>
    <t>Industrial Plumbing Experts</t>
  </si>
  <si>
    <t>Accurate Leak Locating</t>
  </si>
  <si>
    <t>High-Pressure Drain Jetting</t>
  </si>
  <si>
    <t>Expert Geyser Technicians</t>
  </si>
  <si>
    <t>Headline 7 (30)</t>
  </si>
  <si>
    <t>Fix Your Plumbing Emergency</t>
  </si>
  <si>
    <t>Professional Home Service</t>
  </si>
  <si>
    <t>Minimize Business Downtime</t>
  </si>
  <si>
    <t>Damp Wall Leak Detection</t>
  </si>
  <si>
    <t>Sink &amp; Toilet Unblocking</t>
  </si>
  <si>
    <t>Fix Your Hot Water Today</t>
  </si>
  <si>
    <t>Headline 8 (30)</t>
  </si>
  <si>
    <t>No Extra After-Hours Fees</t>
  </si>
  <si>
    <t>Reliable Plumbers Near You</t>
  </si>
  <si>
    <t>Reliable Commercial Service</t>
  </si>
  <si>
    <t>Non-Invasive Leak Testing</t>
  </si>
  <si>
    <t>Fast Emergency Drain Care</t>
  </si>
  <si>
    <t>Approved Geyser Installers</t>
  </si>
  <si>
    <t>Headline 9 (30)</t>
  </si>
  <si>
    <t>Trusted Local Experts</t>
  </si>
  <si>
    <t>Quality Residential Care</t>
  </si>
  <si>
    <t>Licensed Business Plumbers</t>
  </si>
  <si>
    <t>Pinpoint Pipe Leaks</t>
  </si>
  <si>
    <t>Root Removal From Drains</t>
  </si>
  <si>
    <t>Geyser Valve Repairs</t>
  </si>
  <si>
    <t>Headline 10 (30)</t>
  </si>
  <si>
    <t>Call Our Emergency Team</t>
  </si>
  <si>
    <t>Book A Home Plumber Today</t>
  </si>
  <si>
    <t>Corporate Plumbing Audits</t>
  </si>
  <si>
    <t>Expert Leak Locators</t>
  </si>
  <si>
    <t>Clear Your Clogged Pipes</t>
  </si>
  <si>
    <t>Emergency Geyser Service</t>
  </si>
  <si>
    <t>Description 1 (90)</t>
  </si>
  <si>
    <t>Burst Pipe Or Severe Leak? Our Emergency Plumbers Are On Standby 24/7 To Help You Now.</t>
  </si>
  <si>
    <t>From Leaky Taps To Full Household Plumbing Installations, We Keep Your Home Running.</t>
  </si>
  <si>
    <t>Expert Commercial Plumbing Solutions Designed To Keep Your Business Operating Efficiently.</t>
  </si>
  <si>
    <t>High Water Bill? We Find Hidden Underground And In-Wall Leaks Without Breaking Your Walls.</t>
  </si>
  <si>
    <t>Overflowing Drains Or Blocked Toilets? We Clear Stubborn Blockages Rapidly And Cleanly.</t>
  </si>
  <si>
    <t>No Hot Water Or A Leaking Geyser? Our Certified Technicians Repair All Major Brands Today.</t>
  </si>
  <si>
    <t>Description 2 (90)</t>
  </si>
  <si>
    <t>Fast, Reliable Emergency Plumbing Repairs. On-Site Rapidly To Prevent Water Damage.</t>
  </si>
  <si>
    <t>Professional, Clean, And Respectful Residential Plumbing Services Tailored For Your Home.</t>
  </si>
  <si>
    <t>We Support Property Managers, Retail Spaces &amp; Office Blocks With Fast, Reliable Plumbing.</t>
  </si>
  <si>
    <t>Advanced Acoustic And Thermal Leak Detection Technology To Pinpoint Water Loss Precisely.</t>
  </si>
  <si>
    <t>Advanced Drain Cleaning, Camera Inspections, And High-Pressure Jetting Services.</t>
  </si>
  <si>
    <t>Fast, Insurance-Approved Burst Geyser Replacements To Minimize Internal Water Damage.</t>
  </si>
  <si>
    <t>Description 3 (90)</t>
  </si>
  <si>
    <t>Don't Let A Plumbing Emergency Ruin Your Property. Call Johannesburg's Trusted 24/7 Team.</t>
  </si>
  <si>
    <t>Affordable Plumbing Solutions For Your Home. Book A Reliable Technician Today.</t>
  </si>
  <si>
    <t>Minimize Workplace Downtime With Our Professional, Certified Commercial Plumbing Team.</t>
  </si>
  <si>
    <t>Stop Wasting Money On Hidden Water Leaks. Our Specialist Tools Locate Them Fast.</t>
  </si>
  <si>
    <t>Get Your Kitchen Sinks, Showers, And Main Sewer Lines Flowing Freely Again Today.</t>
  </si>
  <si>
    <t>Restore Your Hot Water Quickly With Our Professional Geyser Repairs And Element Changes.</t>
  </si>
  <si>
    <t>Description 4 (90)</t>
  </si>
  <si>
    <t>Highly Trained Emergency Technicians Equipped To Solve Any Plumbing Crisis Immediately.</t>
  </si>
  <si>
    <t>Top-Rated Home Plumbing Repairs &amp; Maintenance. Transparent Pricing And Quality Guaranteed.</t>
  </si>
  <si>
    <t>Scheduled Maintenance Contracts And Emergency Corporate Repairs. Call Our Experts Today.</t>
  </si>
  <si>
    <t>Professional Leak Tracing And Structural Damp Detection Services. Protect Your Property.</t>
  </si>
  <si>
    <t>Reliable, Long-Lasting Drain Unblocking Solutions For Residential And Commercial Spaces.</t>
  </si>
  <si>
    <t>Safe, Compliant Geyser Installations And Solar Conversions By Local Plumbing Specialists.</t>
  </si>
  <si>
    <t>Display URL</t>
  </si>
  <si>
    <t>https://angelplumbers.co.za/Emergency_Plumbing</t>
  </si>
  <si>
    <t>https://angelplumbers.co.za/Residential-Plumbing</t>
  </si>
  <si>
    <t>https://angelplumbers.co.za/Commercial_Plumbing</t>
  </si>
  <si>
    <t>https://angelplumbers.co.za/Leak-Detection</t>
  </si>
  <si>
    <t>https://angelplumbers.co.za/Drain_Cleaning</t>
  </si>
  <si>
    <t>https://angelplumbers.co.za/Geyser_Replacement_&amp;_Repairs</t>
  </si>
  <si>
    <t>Final URL</t>
  </si>
  <si>
    <t>https://angelplumbers.co.za/</t>
  </si>
  <si>
    <t>Local Emergency Plumber</t>
  </si>
  <si>
    <t>Your Trusted Family Plumber</t>
  </si>
  <si>
    <t>Certified Corporate Plumbers</t>
  </si>
  <si>
    <t>Certified Leak Detectors</t>
  </si>
  <si>
    <t>Sewer Camera Inspections</t>
  </si>
  <si>
    <t>PIRB Compliant Geyser Swaps</t>
  </si>
  <si>
    <t>No Hidden Emergency Fees</t>
  </si>
  <si>
    <t>Upfront Fixed Pricing Quotes</t>
  </si>
  <si>
    <t>Property Manager Plumbing</t>
  </si>
  <si>
    <t>Save Money On Water Bills</t>
  </si>
  <si>
    <t>High Pressure Jet Unblocking</t>
  </si>
  <si>
    <t>Certified Water Heater Techs</t>
  </si>
  <si>
    <t>Fast Dispatch Plumbing</t>
  </si>
  <si>
    <t>Clean Reliable Plumbing Care</t>
  </si>
  <si>
    <t>Industrial Infrastructure Care</t>
  </si>
  <si>
    <t>Non Destructive Pipe Tracing</t>
  </si>
  <si>
    <t>Permanent Drain Clearance</t>
  </si>
  <si>
    <t>Burst Geyser Emergency Care</t>
  </si>
  <si>
    <t>On Time Plumbing Guarantee</t>
  </si>
  <si>
    <t>Home Plumbing Checkups</t>
  </si>
  <si>
    <t>Preventative Plumbing Plans</t>
  </si>
  <si>
    <t>Pinpoint Leak Locating Tech</t>
  </si>
  <si>
    <t>Fix Recurring Blocked Pipes</t>
  </si>
  <si>
    <t>SABS Approved Replacement</t>
  </si>
  <si>
    <t>Fix Your Burst Pipe Today</t>
  </si>
  <si>
    <t>Fix Leaky Shower Valves</t>
  </si>
  <si>
    <t>Commercial Compliance Audits</t>
  </si>
  <si>
    <t>Thermal Leak Imaging Scans</t>
  </si>
  <si>
    <t>Odour Removal Plumbing Care</t>
  </si>
  <si>
    <t>Geyser Pressure Valve Tuning</t>
  </si>
  <si>
    <t>Trusted Overnight Plumbers</t>
  </si>
  <si>
    <t>Local Maintenance Experts</t>
  </si>
  <si>
    <t>Large Scale Plumbing Work</t>
  </si>
  <si>
    <t>Trace Damp Walls Fast</t>
  </si>
  <si>
    <t>Root Invasion Drain Cleaning</t>
  </si>
  <si>
    <t>Safe Electrical Component Fix</t>
  </si>
  <si>
    <t>Stop The Leak Immediately</t>
  </si>
  <si>
    <t>Guaranteed Workmanship Care</t>
  </si>
  <si>
    <t>Reliable B2B Contractor Care</t>
  </si>
  <si>
    <t>Official Leak Auditing Reports</t>
  </si>
  <si>
    <t>Professional Drainage Squad</t>
  </si>
  <si>
    <t>Energy Saving Solar Geysers</t>
  </si>
  <si>
    <t>24/7 Priority Emergency Call</t>
  </si>
  <si>
    <t>Renovation Plumbing Updates</t>
  </si>
  <si>
    <t>24/7 Office Support Systems</t>
  </si>
  <si>
    <t>Stop Wasting Fresh Water</t>
  </si>
  <si>
    <t>Clear Main Lines Instantly</t>
  </si>
  <si>
    <t>Hot Water Guaranteed Today</t>
  </si>
  <si>
    <t>Professional Disaster Repair</t>
  </si>
  <si>
    <t>Highly Recommended Plumbers</t>
  </si>
  <si>
    <t>Compliant Health and Safety</t>
  </si>
  <si>
    <t>Advanced Tracer Gas Testing</t>
  </si>
  <si>
    <t>Say Goodbye To Clogged Sinks</t>
  </si>
  <si>
    <t>Local Geyser Overhaul Experts</t>
  </si>
  <si>
    <t>Johannesburg Emergency Squad</t>
  </si>
  <si>
    <t>Book A Reliable Appointment</t>
  </si>
  <si>
    <t>Commercial Asset Protection</t>
  </si>
  <si>
    <t>Find Hidden Plumbing Leaks</t>
  </si>
  <si>
    <t>Heavy Duty Pipe Scouring</t>
  </si>
  <si>
    <t>Upgrade Your Hot Water Tank</t>
  </si>
  <si>
    <t>Transparent Fixed Pricing With Zero Shocking Hidden Fees For Late Night Plumbing Calls.</t>
  </si>
  <si>
    <t>We Pride Ourselves On Leaving Your Family Home Impeccably Clean After Every Single Repair.</t>
  </si>
  <si>
    <t>Tailored Industrial Service Level Agreements Designed For Demanding Commercial Hubs.</t>
  </si>
  <si>
    <t>We Utilize State Of The Art Thermal Camera Scans To See Through Solid Brick Walls.</t>
  </si>
  <si>
    <t>We Insert Digital Inspection Cameras Directly Into Pipes To Locate Hidden Tree Roots.</t>
  </si>
  <si>
    <t>Every Single New Water Heater Installation Comes With An Official Compliance Certificate.</t>
  </si>
  <si>
    <t>Your Call Dispatches A Fully Stocked Mobile Response Vehicle Directly To Your Doorstep.</t>
  </si>
  <si>
    <t>Get Honest Upfront Quotes Before Any Physical Plumbing Work Begins On Your Property.</t>
  </si>
  <si>
    <t>We Manage High Volume Office Infrastructure, Retail Malls, And Multi Unit Complexes.</t>
  </si>
  <si>
    <t>Receive An Official Comprehensive Digital Leak Report Outlining Exactly Where Loss Occurs.</t>
  </si>
  <si>
    <t>Blast Away Decades Of Hardened Grease Build Up Using Eco Friendly Hydro Jet Systems.</t>
  </si>
  <si>
    <t>Ensure Your Household System Matches Strict Modern SABS Standards For Thermal Protection.</t>
  </si>
  <si>
    <t>Trusted Local Technicians Available Every Single Day Of The Year For Urgent Assistance.</t>
  </si>
  <si>
    <t>From Minor Kitchen Dripping To Complex Full Bathroom Overhauls, We Handle It All.</t>
  </si>
  <si>
    <t>Ensure Complete System Compliance With Official Commercial Safety Plumbing Regulations.</t>
  </si>
  <si>
    <t>Our Smart Tracer Gas Systems Locate Hairline Pipe Cracks Hidden Deep Underground.</t>
  </si>
  <si>
    <t>Get Permanent Lasting Relief From Chronic Overflowing Sewage Drainage Systems Today.</t>
  </si>
  <si>
    <t>Experienced Technicians Replace Faulty Thermostats and Rusted Heating Elements Quickly.</t>
  </si>
  <si>
    <t>We Arrive Quickly To Secure Your Property And Prevent Massive Expensive Water Damage.</t>
  </si>
  <si>
    <t>Licensed Insured Professionals Dedicated To Helping Suburban Households Maintain Systems.</t>
  </si>
  <si>
    <t>Highly Competent Technical Staff Ready To Fix Commercial Failures Without Disturbance.</t>
  </si>
  <si>
    <t>Stop Paying Inflated Municipal Bills Caused By Invisible Active Infrastructure Failure.</t>
  </si>
  <si>
    <t>Fast Friendly Clean Up Operations Accompany Every Single Drain Blast Service We Offer.</t>
  </si>
  <si>
    <t>Get Immediate Financial Piece Of Mind With Complete Insurance Document Assistance.</t>
  </si>
  <si>
    <t>From Leaky Taps To Full Household Plumbing Installations, We Keep Your Home Running Smoothly.</t>
  </si>
  <si>
    <t>We Support Property Managers, Retail Spaces, And Office Blocks With Fast, Reliable Plumbing.</t>
  </si>
  <si>
    <t>Affordable Plumbing Solutions For Your House Or Apartment. Book A Reliable Technician Today.</t>
  </si>
  <si>
    <t>Stop Wasting Money On Hidden Water Leaks. Our Non-Invasive Specialist Tools Locate Them Fast.</t>
  </si>
  <si>
    <t>Top-Rated Home Plumbing Repairs And Maintenance. Transparent Pricing And Quality Guaranteed.</t>
  </si>
  <si>
    <t>From Minor Kitchen Dripping To Complex Full Bathroom Overhauls, We Handle It Professionally.</t>
  </si>
  <si>
    <t>Order</t>
  </si>
  <si>
    <t>Link Text</t>
  </si>
  <si>
    <t>Dest. URL</t>
  </si>
  <si>
    <t>Home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</si>
</sst>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]#,##0.00"/>
  </numFmts>
  <fonts count="20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12.0"/>
      <color rgb="FFFFFFFF"/>
      <name val="Calibri"/>
    </font>
    <font/>
    <font>
      <sz val="10.0"/>
      <color rgb="FF000000"/>
      <name val="Verdana"/>
    </font>
    <font>
      <sz val="12.0"/>
      <color rgb="FF000000"/>
      <name val="Calibri"/>
    </font>
    <font>
      <sz val="12.0"/>
      <color rgb="FFFFFFFF"/>
      <name val="Calibri"/>
    </font>
    <font>
      <b/>
      <sz val="12.0"/>
      <color rgb="FF000000"/>
      <name val="Calibri"/>
    </font>
    <font>
      <sz val="11.0"/>
      <color rgb="FF00B0F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0" fillId="0" fontId="3" numFmtId="0" xfId="0" applyFont="1"/>
    <xf borderId="3" fillId="3" fontId="3" numFmtId="0" xfId="0" applyBorder="1" applyFill="1" applyFont="1"/>
    <xf borderId="4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readingOrder="0"/>
    </xf>
    <xf borderId="3" fillId="3" fontId="4" numFmtId="0" xfId="0" applyBorder="1" applyFont="1"/>
    <xf borderId="5" fillId="3" fontId="4" numFmtId="0" xfId="0" applyBorder="1" applyFont="1"/>
    <xf borderId="6" fillId="3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4" fontId="3" numFmtId="0" xfId="0" applyFill="1" applyFont="1"/>
    <xf borderId="7" fillId="2" fontId="6" numFmtId="0" xfId="0" applyAlignment="1" applyBorder="1" applyFont="1">
      <alignment horizontal="center"/>
    </xf>
    <xf borderId="8" fillId="2" fontId="6" numFmtId="0" xfId="0" applyAlignment="1" applyBorder="1" applyFont="1">
      <alignment horizontal="center" readingOrder="0"/>
    </xf>
    <xf borderId="7" fillId="2" fontId="2" numFmtId="0" xfId="0" applyBorder="1" applyFont="1"/>
    <xf borderId="7" fillId="3" fontId="4" numFmtId="0" xfId="0" applyBorder="1" applyFont="1"/>
    <xf borderId="9" fillId="3" fontId="3" numFmtId="0" xfId="0" applyBorder="1" applyFont="1"/>
    <xf borderId="8" fillId="3" fontId="3" numFmtId="0" xfId="0" applyBorder="1" applyFont="1"/>
    <xf borderId="10" fillId="0" fontId="7" numFmtId="0" xfId="0" applyBorder="1" applyFont="1"/>
    <xf borderId="10" fillId="3" fontId="3" numFmtId="0" xfId="0" applyBorder="1" applyFont="1"/>
    <xf borderId="11" fillId="3" fontId="3" numFmtId="0" xfId="0" applyBorder="1" applyFont="1"/>
    <xf borderId="11" fillId="0" fontId="7" numFmtId="0" xfId="0" applyBorder="1" applyFont="1"/>
    <xf borderId="0" fillId="4" fontId="5" numFmtId="0" xfId="0" applyFont="1"/>
    <xf borderId="0" fillId="0" fontId="3" numFmtId="49" xfId="0" applyFont="1" applyNumberFormat="1"/>
    <xf borderId="8" fillId="2" fontId="1" numFmtId="49" xfId="0" applyAlignment="1" applyBorder="1" applyFont="1" applyNumberFormat="1">
      <alignment horizontal="center"/>
    </xf>
    <xf borderId="0" fillId="0" fontId="4" numFmtId="49" xfId="0" applyAlignment="1" applyFont="1" applyNumberFormat="1">
      <alignment horizontal="center"/>
    </xf>
    <xf borderId="0" fillId="0" fontId="4" numFmtId="49" xfId="0" applyFont="1" applyNumberFormat="1"/>
    <xf borderId="8" fillId="3" fontId="5" numFmtId="49" xfId="0" applyAlignment="1" applyBorder="1" applyFont="1" applyNumberFormat="1">
      <alignment readingOrder="0"/>
    </xf>
    <xf borderId="8" fillId="3" fontId="3" numFmtId="49" xfId="0" applyAlignment="1" applyBorder="1" applyFont="1" applyNumberFormat="1">
      <alignment readingOrder="0"/>
    </xf>
    <xf borderId="8" fillId="3" fontId="5" numFmtId="0" xfId="0" applyAlignment="1" applyBorder="1" applyFont="1">
      <alignment readingOrder="0"/>
    </xf>
    <xf borderId="0" fillId="0" fontId="3" numFmtId="49" xfId="0" applyAlignment="1" applyFont="1" applyNumberFormat="1">
      <alignment readingOrder="0"/>
    </xf>
    <xf borderId="0" fillId="0" fontId="5" numFmtId="49" xfId="0" applyFont="1" applyNumberFormat="1"/>
    <xf borderId="0" fillId="2" fontId="1" numFmtId="0" xfId="0" applyAlignment="1" applyFont="1">
      <alignment horizontal="center"/>
    </xf>
    <xf borderId="0" fillId="2" fontId="1" numFmtId="49" xfId="0" applyFont="1" applyNumberFormat="1"/>
    <xf borderId="0" fillId="0" fontId="4" numFmtId="0" xfId="0" applyFont="1"/>
    <xf borderId="0" fillId="3" fontId="8" numFmtId="0" xfId="0" applyAlignment="1" applyFont="1">
      <alignment horizontal="left"/>
    </xf>
    <xf borderId="0" fillId="3" fontId="5" numFmtId="49" xfId="0" applyAlignment="1" applyFont="1" applyNumberFormat="1">
      <alignment readingOrder="0"/>
    </xf>
    <xf borderId="0" fillId="3" fontId="8" numFmtId="0" xfId="0" applyFont="1"/>
    <xf borderId="0" fillId="3" fontId="3" numFmtId="49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3" fontId="3" numFmtId="0" xfId="0" applyFont="1"/>
    <xf borderId="0" fillId="0" fontId="9" numFmtId="0" xfId="0" applyFont="1"/>
    <xf borderId="0" fillId="2" fontId="10" numFmtId="0" xfId="0" applyFont="1"/>
    <xf borderId="0" fillId="2" fontId="2" numFmtId="0" xfId="0" applyFont="1"/>
    <xf borderId="0" fillId="2" fontId="1" numFmtId="0" xfId="0" applyFont="1"/>
    <xf borderId="0" fillId="0" fontId="11" numFmtId="0" xfId="0" applyFont="1"/>
    <xf borderId="0" fillId="0" fontId="12" numFmtId="0" xfId="0" applyAlignment="1" applyFont="1">
      <alignment horizontal="center"/>
    </xf>
    <xf borderId="0" fillId="0" fontId="13" numFmtId="0" xfId="0" applyFont="1"/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7" numFmtId="0" xfId="0" applyFont="1"/>
    <xf borderId="0" fillId="3" fontId="3" numFmtId="0" xfId="0" applyAlignment="1" applyFont="1">
      <alignment readingOrder="0"/>
    </xf>
    <xf borderId="0" fillId="3" fontId="18" numFmtId="0" xfId="0" applyAlignment="1" applyFont="1">
      <alignment readingOrder="0"/>
    </xf>
    <xf borderId="0" fillId="3" fontId="19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angelplumbers.co.za/" TargetMode="External"/><Relationship Id="rId22" Type="http://schemas.openxmlformats.org/officeDocument/2006/relationships/hyperlink" Target="https://angelplumbers.co.za/" TargetMode="External"/><Relationship Id="rId21" Type="http://schemas.openxmlformats.org/officeDocument/2006/relationships/hyperlink" Target="https://angelplumbers.co.za/" TargetMode="External"/><Relationship Id="rId24" Type="http://schemas.openxmlformats.org/officeDocument/2006/relationships/hyperlink" Target="https://angelplumbers.co.za/" TargetMode="External"/><Relationship Id="rId23" Type="http://schemas.openxmlformats.org/officeDocument/2006/relationships/hyperlink" Target="https://angelplumbers.co.za/" TargetMode="External"/><Relationship Id="rId1" Type="http://schemas.openxmlformats.org/officeDocument/2006/relationships/hyperlink" Target="https://angelplumbers.co.za/Emergency-Plumbing" TargetMode="External"/><Relationship Id="rId2" Type="http://schemas.openxmlformats.org/officeDocument/2006/relationships/hyperlink" Target="https://angelplumbers.co.za/Residential-Plumbing" TargetMode="External"/><Relationship Id="rId3" Type="http://schemas.openxmlformats.org/officeDocument/2006/relationships/hyperlink" Target="https://angelplumbers.co.za/Commercial-Plumbing" TargetMode="External"/><Relationship Id="rId4" Type="http://schemas.openxmlformats.org/officeDocument/2006/relationships/hyperlink" Target="https://angelplumbers.co.za/Leak-Detection" TargetMode="External"/><Relationship Id="rId9" Type="http://schemas.openxmlformats.org/officeDocument/2006/relationships/hyperlink" Target="https://angelplumbers.co.za/" TargetMode="External"/><Relationship Id="rId25" Type="http://schemas.openxmlformats.org/officeDocument/2006/relationships/drawing" Target="../drawings/drawing5.xml"/><Relationship Id="rId5" Type="http://schemas.openxmlformats.org/officeDocument/2006/relationships/hyperlink" Target="https://angelplumbers.co.za/Drain-Cleaning" TargetMode="External"/><Relationship Id="rId6" Type="http://schemas.openxmlformats.org/officeDocument/2006/relationships/hyperlink" Target="https://angelplumbers.co.za/Geyser_Replacement_&amp;_Repairs" TargetMode="External"/><Relationship Id="rId7" Type="http://schemas.openxmlformats.org/officeDocument/2006/relationships/hyperlink" Target="https://angelplumbers.co.za/" TargetMode="External"/><Relationship Id="rId8" Type="http://schemas.openxmlformats.org/officeDocument/2006/relationships/hyperlink" Target="https://angelplumbers.co.za/" TargetMode="External"/><Relationship Id="rId11" Type="http://schemas.openxmlformats.org/officeDocument/2006/relationships/hyperlink" Target="https://angelplumbers.co.za/" TargetMode="External"/><Relationship Id="rId10" Type="http://schemas.openxmlformats.org/officeDocument/2006/relationships/hyperlink" Target="https://angelplumbers.co.za/" TargetMode="External"/><Relationship Id="rId13" Type="http://schemas.openxmlformats.org/officeDocument/2006/relationships/hyperlink" Target="https://angelplumbers.co.za/Emergency-Plumbing" TargetMode="External"/><Relationship Id="rId12" Type="http://schemas.openxmlformats.org/officeDocument/2006/relationships/hyperlink" Target="https://angelplumbers.co.za/" TargetMode="External"/><Relationship Id="rId15" Type="http://schemas.openxmlformats.org/officeDocument/2006/relationships/hyperlink" Target="https://angelplumbers.co.za/Commercial-Plumbing" TargetMode="External"/><Relationship Id="rId14" Type="http://schemas.openxmlformats.org/officeDocument/2006/relationships/hyperlink" Target="https://angelplumbers.co.za/Residential-Plumbing" TargetMode="External"/><Relationship Id="rId17" Type="http://schemas.openxmlformats.org/officeDocument/2006/relationships/hyperlink" Target="https://angelplumbers.co.za/Drain-Cleaning" TargetMode="External"/><Relationship Id="rId16" Type="http://schemas.openxmlformats.org/officeDocument/2006/relationships/hyperlink" Target="https://angelplumbers.co.za/Leak-Detection" TargetMode="External"/><Relationship Id="rId19" Type="http://schemas.openxmlformats.org/officeDocument/2006/relationships/hyperlink" Target="https://angelplumbers.co.za/" TargetMode="External"/><Relationship Id="rId18" Type="http://schemas.openxmlformats.org/officeDocument/2006/relationships/hyperlink" Target="https://angelplumbers.co.za/Geyser_Replacement_&amp;_Repair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ngelplumbers.co.za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7.86"/>
    <col customWidth="1" min="3" max="3" width="8.14"/>
    <col customWidth="1" min="4" max="11" width="6.71"/>
    <col customWidth="1" min="12" max="21" width="13.29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 t="s">
        <v>1</v>
      </c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 t="s">
        <v>3</v>
      </c>
      <c r="B4" s="6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/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4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4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4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4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7" t="s">
        <v>5</v>
      </c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4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8" t="s">
        <v>7</v>
      </c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8" t="s">
        <v>8</v>
      </c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4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8" t="s">
        <v>9</v>
      </c>
      <c r="B15" s="6" t="s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4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9" t="s">
        <v>11</v>
      </c>
      <c r="B17" s="10">
        <f>5*25</f>
        <v>125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1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3"/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"/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"/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"/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3"/>
      <c r="B25" s="1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3"/>
      <c r="B26" s="1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/>
      <c r="B27" s="1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1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1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1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1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1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1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1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1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1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1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1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1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1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1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1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1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1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1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1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1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1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1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1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1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1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1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1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1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1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1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1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1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1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1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1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1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1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1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1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1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1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1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1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1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1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1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1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1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1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1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1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1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1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1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1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1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1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1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1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1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1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1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1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1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1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1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1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1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1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1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1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1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1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1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1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1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1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1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1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1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1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1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1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1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1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1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1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1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1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1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1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1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1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1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1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1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1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1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1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1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1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1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1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1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1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1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1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1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1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1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1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1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1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1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1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1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1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1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1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1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1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1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1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1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1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1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1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1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1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1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1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1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1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1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1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1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1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1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1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1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1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1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1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1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1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1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1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1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1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1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1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1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1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1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1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1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1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1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1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1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1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1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1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1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1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1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1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1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1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1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1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1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1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1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1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1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1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1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1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1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1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1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1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1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1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1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1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1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1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  <row r="502" ht="15.75" customHeight="1">
      <c r="B502" s="12"/>
    </row>
    <row r="503" ht="15.75" customHeight="1">
      <c r="B503" s="12"/>
    </row>
    <row r="504" ht="15.75" customHeight="1">
      <c r="B504" s="12"/>
    </row>
    <row r="505" ht="15.75" customHeight="1">
      <c r="B505" s="12"/>
    </row>
    <row r="506" ht="15.75" customHeight="1">
      <c r="B506" s="12"/>
    </row>
    <row r="507" ht="15.75" customHeight="1">
      <c r="B507" s="12"/>
    </row>
    <row r="508" ht="15.75" customHeight="1">
      <c r="B508" s="12"/>
    </row>
    <row r="509" ht="15.75" customHeight="1">
      <c r="B509" s="12"/>
    </row>
    <row r="510" ht="15.75" customHeight="1">
      <c r="B510" s="12"/>
    </row>
    <row r="511" ht="15.75" customHeight="1">
      <c r="B511" s="12"/>
    </row>
    <row r="512" ht="15.75" customHeight="1">
      <c r="B512" s="12"/>
    </row>
    <row r="513" ht="15.75" customHeight="1">
      <c r="B513" s="12"/>
    </row>
    <row r="514" ht="15.75" customHeight="1">
      <c r="B514" s="12"/>
    </row>
    <row r="515" ht="15.75" customHeight="1">
      <c r="B515" s="12"/>
    </row>
    <row r="516" ht="15.75" customHeight="1">
      <c r="B516" s="12"/>
    </row>
    <row r="517" ht="15.75" customHeight="1">
      <c r="B517" s="12"/>
    </row>
    <row r="518" ht="15.75" customHeight="1">
      <c r="B518" s="12"/>
    </row>
    <row r="519" ht="15.75" customHeight="1">
      <c r="B519" s="12"/>
    </row>
    <row r="520" ht="15.75" customHeight="1">
      <c r="B520" s="12"/>
    </row>
    <row r="521" ht="15.75" customHeight="1">
      <c r="B521" s="12"/>
    </row>
    <row r="522" ht="15.75" customHeight="1">
      <c r="B522" s="12"/>
    </row>
    <row r="523" ht="15.75" customHeight="1">
      <c r="B523" s="12"/>
    </row>
    <row r="524" ht="15.75" customHeight="1">
      <c r="B524" s="12"/>
    </row>
    <row r="525" ht="15.75" customHeight="1">
      <c r="B525" s="12"/>
    </row>
    <row r="526" ht="15.75" customHeight="1">
      <c r="B526" s="12"/>
    </row>
    <row r="527" ht="15.75" customHeight="1">
      <c r="B527" s="12"/>
    </row>
    <row r="528" ht="15.75" customHeight="1">
      <c r="B528" s="12"/>
    </row>
    <row r="529" ht="15.75" customHeight="1">
      <c r="B529" s="12"/>
    </row>
    <row r="530" ht="15.75" customHeight="1">
      <c r="B530" s="12"/>
    </row>
    <row r="531" ht="15.75" customHeight="1">
      <c r="B531" s="12"/>
    </row>
    <row r="532" ht="15.75" customHeight="1">
      <c r="B532" s="12"/>
    </row>
    <row r="533" ht="15.75" customHeight="1">
      <c r="B533" s="12"/>
    </row>
    <row r="534" ht="15.75" customHeight="1">
      <c r="B534" s="12"/>
    </row>
    <row r="535" ht="15.75" customHeight="1">
      <c r="B535" s="12"/>
    </row>
    <row r="536" ht="15.75" customHeight="1">
      <c r="B536" s="12"/>
    </row>
    <row r="537" ht="15.75" customHeight="1">
      <c r="B537" s="12"/>
    </row>
    <row r="538" ht="15.75" customHeight="1">
      <c r="B538" s="12"/>
    </row>
    <row r="539" ht="15.75" customHeight="1">
      <c r="B539" s="12"/>
    </row>
    <row r="540" ht="15.75" customHeight="1">
      <c r="B540" s="12"/>
    </row>
    <row r="541" ht="15.75" customHeight="1">
      <c r="B541" s="12"/>
    </row>
    <row r="542" ht="15.75" customHeight="1">
      <c r="B542" s="12"/>
    </row>
    <row r="543" ht="15.75" customHeight="1">
      <c r="B543" s="12"/>
    </row>
    <row r="544" ht="15.75" customHeight="1">
      <c r="B544" s="12"/>
    </row>
    <row r="545" ht="15.75" customHeight="1">
      <c r="B545" s="12"/>
    </row>
    <row r="546" ht="15.75" customHeight="1">
      <c r="B546" s="12"/>
    </row>
    <row r="547" ht="15.75" customHeight="1">
      <c r="B547" s="12"/>
    </row>
    <row r="548" ht="15.75" customHeight="1">
      <c r="B548" s="12"/>
    </row>
    <row r="549" ht="15.75" customHeight="1">
      <c r="B549" s="12"/>
    </row>
    <row r="550" ht="15.75" customHeight="1">
      <c r="B550" s="12"/>
    </row>
    <row r="551" ht="15.75" customHeight="1">
      <c r="B551" s="12"/>
    </row>
    <row r="552" ht="15.75" customHeight="1">
      <c r="B552" s="12"/>
    </row>
    <row r="553" ht="15.75" customHeight="1">
      <c r="B553" s="12"/>
    </row>
    <row r="554" ht="15.75" customHeight="1">
      <c r="B554" s="12"/>
    </row>
    <row r="555" ht="15.75" customHeight="1">
      <c r="B555" s="12"/>
    </row>
    <row r="556" ht="15.75" customHeight="1">
      <c r="B556" s="12"/>
    </row>
    <row r="557" ht="15.75" customHeight="1">
      <c r="B557" s="12"/>
    </row>
    <row r="558" ht="15.75" customHeight="1">
      <c r="B558" s="12"/>
    </row>
    <row r="559" ht="15.75" customHeight="1">
      <c r="B559" s="12"/>
    </row>
    <row r="560" ht="15.75" customHeight="1">
      <c r="B560" s="12"/>
    </row>
    <row r="561" ht="15.75" customHeight="1">
      <c r="B561" s="12"/>
    </row>
    <row r="562" ht="15.75" customHeight="1">
      <c r="B562" s="12"/>
    </row>
    <row r="563" ht="15.75" customHeight="1">
      <c r="B563" s="12"/>
    </row>
    <row r="564" ht="15.75" customHeight="1">
      <c r="B564" s="12"/>
    </row>
    <row r="565" ht="15.75" customHeight="1">
      <c r="B565" s="12"/>
    </row>
    <row r="566" ht="15.75" customHeight="1">
      <c r="B566" s="12"/>
    </row>
    <row r="567" ht="15.75" customHeight="1">
      <c r="B567" s="12"/>
    </row>
    <row r="568" ht="15.75" customHeight="1">
      <c r="B568" s="12"/>
    </row>
    <row r="569" ht="15.75" customHeight="1">
      <c r="B569" s="12"/>
    </row>
    <row r="570" ht="15.75" customHeight="1">
      <c r="B570" s="12"/>
    </row>
    <row r="571" ht="15.75" customHeight="1">
      <c r="B571" s="12"/>
    </row>
    <row r="572" ht="15.75" customHeight="1">
      <c r="B572" s="12"/>
    </row>
    <row r="573" ht="15.75" customHeight="1">
      <c r="B573" s="12"/>
    </row>
    <row r="574" ht="15.75" customHeight="1">
      <c r="B574" s="12"/>
    </row>
    <row r="575" ht="15.75" customHeight="1">
      <c r="B575" s="12"/>
    </row>
    <row r="576" ht="15.75" customHeight="1">
      <c r="B576" s="12"/>
    </row>
    <row r="577" ht="15.75" customHeight="1">
      <c r="B577" s="12"/>
    </row>
    <row r="578" ht="15.75" customHeight="1">
      <c r="B578" s="12"/>
    </row>
    <row r="579" ht="15.75" customHeight="1">
      <c r="B579" s="12"/>
    </row>
    <row r="580" ht="15.75" customHeight="1">
      <c r="B580" s="12"/>
    </row>
    <row r="581" ht="15.75" customHeight="1">
      <c r="B581" s="12"/>
    </row>
    <row r="582" ht="15.75" customHeight="1">
      <c r="B582" s="12"/>
    </row>
    <row r="583" ht="15.75" customHeight="1">
      <c r="B583" s="12"/>
    </row>
    <row r="584" ht="15.75" customHeight="1">
      <c r="B584" s="12"/>
    </row>
    <row r="585" ht="15.75" customHeight="1">
      <c r="B585" s="12"/>
    </row>
    <row r="586" ht="15.75" customHeight="1">
      <c r="B586" s="12"/>
    </row>
    <row r="587" ht="15.75" customHeight="1">
      <c r="B587" s="12"/>
    </row>
    <row r="588" ht="15.75" customHeight="1">
      <c r="B588" s="12"/>
    </row>
    <row r="589" ht="15.75" customHeight="1">
      <c r="B589" s="12"/>
    </row>
    <row r="590" ht="15.75" customHeight="1">
      <c r="B590" s="12"/>
    </row>
    <row r="591" ht="15.75" customHeight="1">
      <c r="B591" s="12"/>
    </row>
    <row r="592" ht="15.75" customHeight="1">
      <c r="B592" s="12"/>
    </row>
    <row r="593" ht="15.75" customHeight="1">
      <c r="B593" s="12"/>
    </row>
    <row r="594" ht="15.75" customHeight="1">
      <c r="B594" s="12"/>
    </row>
    <row r="595" ht="15.75" customHeight="1">
      <c r="B595" s="12"/>
    </row>
    <row r="596" ht="15.75" customHeight="1">
      <c r="B596" s="12"/>
    </row>
    <row r="597" ht="15.75" customHeight="1">
      <c r="B597" s="12"/>
    </row>
    <row r="598" ht="15.75" customHeight="1">
      <c r="B598" s="12"/>
    </row>
    <row r="599" ht="15.75" customHeight="1">
      <c r="B599" s="12"/>
    </row>
    <row r="600" ht="15.75" customHeight="1">
      <c r="B600" s="12"/>
    </row>
    <row r="601" ht="15.75" customHeight="1">
      <c r="B601" s="12"/>
    </row>
    <row r="602" ht="15.75" customHeight="1">
      <c r="B602" s="12"/>
    </row>
    <row r="603" ht="15.75" customHeight="1">
      <c r="B603" s="12"/>
    </row>
    <row r="604" ht="15.75" customHeight="1">
      <c r="B604" s="12"/>
    </row>
    <row r="605" ht="15.75" customHeight="1">
      <c r="B605" s="12"/>
    </row>
    <row r="606" ht="15.75" customHeight="1">
      <c r="B606" s="12"/>
    </row>
    <row r="607" ht="15.75" customHeight="1">
      <c r="B607" s="12"/>
    </row>
    <row r="608" ht="15.75" customHeight="1">
      <c r="B608" s="12"/>
    </row>
    <row r="609" ht="15.75" customHeight="1">
      <c r="B609" s="12"/>
    </row>
    <row r="610" ht="15.75" customHeight="1">
      <c r="B610" s="12"/>
    </row>
    <row r="611" ht="15.75" customHeight="1">
      <c r="B611" s="12"/>
    </row>
    <row r="612" ht="15.75" customHeight="1">
      <c r="B612" s="12"/>
    </row>
    <row r="613" ht="15.75" customHeight="1">
      <c r="B613" s="12"/>
    </row>
    <row r="614" ht="15.75" customHeight="1">
      <c r="B614" s="12"/>
    </row>
    <row r="615" ht="15.75" customHeight="1">
      <c r="B615" s="12"/>
    </row>
    <row r="616" ht="15.75" customHeight="1">
      <c r="B616" s="12"/>
    </row>
    <row r="617" ht="15.75" customHeight="1">
      <c r="B617" s="12"/>
    </row>
    <row r="618" ht="15.75" customHeight="1">
      <c r="B618" s="12"/>
    </row>
    <row r="619" ht="15.75" customHeight="1">
      <c r="B619" s="12"/>
    </row>
    <row r="620" ht="15.75" customHeight="1">
      <c r="B620" s="12"/>
    </row>
    <row r="621" ht="15.75" customHeight="1">
      <c r="B621" s="12"/>
    </row>
    <row r="622" ht="15.75" customHeight="1">
      <c r="B622" s="12"/>
    </row>
    <row r="623" ht="15.75" customHeight="1">
      <c r="B623" s="12"/>
    </row>
    <row r="624" ht="15.75" customHeight="1">
      <c r="B624" s="12"/>
    </row>
    <row r="625" ht="15.75" customHeight="1">
      <c r="B625" s="12"/>
    </row>
    <row r="626" ht="15.75" customHeight="1">
      <c r="B626" s="12"/>
    </row>
    <row r="627" ht="15.75" customHeight="1">
      <c r="B627" s="12"/>
    </row>
    <row r="628" ht="15.75" customHeight="1">
      <c r="B628" s="12"/>
    </row>
    <row r="629" ht="15.75" customHeight="1">
      <c r="B629" s="12"/>
    </row>
    <row r="630" ht="15.75" customHeight="1">
      <c r="B630" s="12"/>
    </row>
    <row r="631" ht="15.75" customHeight="1">
      <c r="B631" s="12"/>
    </row>
    <row r="632" ht="15.75" customHeight="1">
      <c r="B632" s="12"/>
    </row>
    <row r="633" ht="15.75" customHeight="1">
      <c r="B633" s="12"/>
    </row>
    <row r="634" ht="15.75" customHeight="1">
      <c r="B634" s="12"/>
    </row>
    <row r="635" ht="15.75" customHeight="1">
      <c r="B635" s="12"/>
    </row>
    <row r="636" ht="15.75" customHeight="1">
      <c r="B636" s="12"/>
    </row>
    <row r="637" ht="15.75" customHeight="1">
      <c r="B637" s="12"/>
    </row>
    <row r="638" ht="15.75" customHeight="1">
      <c r="B638" s="12"/>
    </row>
    <row r="639" ht="15.75" customHeight="1">
      <c r="B639" s="12"/>
    </row>
    <row r="640" ht="15.75" customHeight="1">
      <c r="B640" s="12"/>
    </row>
    <row r="641" ht="15.75" customHeight="1">
      <c r="B641" s="12"/>
    </row>
    <row r="642" ht="15.75" customHeight="1">
      <c r="B642" s="12"/>
    </row>
    <row r="643" ht="15.75" customHeight="1">
      <c r="B643" s="12"/>
    </row>
    <row r="644" ht="15.75" customHeight="1">
      <c r="B644" s="12"/>
    </row>
    <row r="645" ht="15.75" customHeight="1">
      <c r="B645" s="12"/>
    </row>
    <row r="646" ht="15.75" customHeight="1">
      <c r="B646" s="12"/>
    </row>
    <row r="647" ht="15.75" customHeight="1">
      <c r="B647" s="12"/>
    </row>
    <row r="648" ht="15.75" customHeight="1">
      <c r="B648" s="12"/>
    </row>
    <row r="649" ht="15.75" customHeight="1">
      <c r="B649" s="12"/>
    </row>
    <row r="650" ht="15.75" customHeight="1">
      <c r="B650" s="12"/>
    </row>
    <row r="651" ht="15.75" customHeight="1">
      <c r="B651" s="12"/>
    </row>
    <row r="652" ht="15.75" customHeight="1">
      <c r="B652" s="12"/>
    </row>
    <row r="653" ht="15.75" customHeight="1">
      <c r="B653" s="12"/>
    </row>
    <row r="654" ht="15.75" customHeight="1">
      <c r="B654" s="12"/>
    </row>
    <row r="655" ht="15.75" customHeight="1">
      <c r="B655" s="12"/>
    </row>
    <row r="656" ht="15.75" customHeight="1">
      <c r="B656" s="12"/>
    </row>
    <row r="657" ht="15.75" customHeight="1">
      <c r="B657" s="12"/>
    </row>
    <row r="658" ht="15.75" customHeight="1">
      <c r="B658" s="12"/>
    </row>
    <row r="659" ht="15.75" customHeight="1">
      <c r="B659" s="12"/>
    </row>
    <row r="660" ht="15.75" customHeight="1">
      <c r="B660" s="12"/>
    </row>
    <row r="661" ht="15.75" customHeight="1">
      <c r="B661" s="12"/>
    </row>
    <row r="662" ht="15.75" customHeight="1">
      <c r="B662" s="12"/>
    </row>
    <row r="663" ht="15.75" customHeight="1">
      <c r="B663" s="12"/>
    </row>
    <row r="664" ht="15.75" customHeight="1">
      <c r="B664" s="12"/>
    </row>
    <row r="665" ht="15.75" customHeight="1">
      <c r="B665" s="12"/>
    </row>
    <row r="666" ht="15.75" customHeight="1">
      <c r="B666" s="12"/>
    </row>
    <row r="667" ht="15.75" customHeight="1">
      <c r="B667" s="12"/>
    </row>
    <row r="668" ht="15.75" customHeight="1">
      <c r="B668" s="12"/>
    </row>
    <row r="669" ht="15.75" customHeight="1">
      <c r="B669" s="12"/>
    </row>
    <row r="670" ht="15.75" customHeight="1">
      <c r="B670" s="12"/>
    </row>
    <row r="671" ht="15.75" customHeight="1">
      <c r="B671" s="12"/>
    </row>
    <row r="672" ht="15.75" customHeight="1">
      <c r="B672" s="12"/>
    </row>
    <row r="673" ht="15.75" customHeight="1">
      <c r="B673" s="12"/>
    </row>
    <row r="674" ht="15.75" customHeight="1">
      <c r="B674" s="12"/>
    </row>
    <row r="675" ht="15.75" customHeight="1">
      <c r="B675" s="12"/>
    </row>
    <row r="676" ht="15.75" customHeight="1">
      <c r="B676" s="12"/>
    </row>
    <row r="677" ht="15.75" customHeight="1">
      <c r="B677" s="12"/>
    </row>
    <row r="678" ht="15.75" customHeight="1">
      <c r="B678" s="12"/>
    </row>
    <row r="679" ht="15.75" customHeight="1">
      <c r="B679" s="12"/>
    </row>
    <row r="680" ht="15.75" customHeight="1">
      <c r="B680" s="12"/>
    </row>
    <row r="681" ht="15.75" customHeight="1">
      <c r="B681" s="12"/>
    </row>
    <row r="682" ht="15.75" customHeight="1">
      <c r="B682" s="12"/>
    </row>
    <row r="683" ht="15.75" customHeight="1">
      <c r="B683" s="12"/>
    </row>
    <row r="684" ht="15.75" customHeight="1">
      <c r="B684" s="12"/>
    </row>
    <row r="685" ht="15.75" customHeight="1">
      <c r="B685" s="12"/>
    </row>
    <row r="686" ht="15.75" customHeight="1">
      <c r="B686" s="12"/>
    </row>
    <row r="687" ht="15.75" customHeight="1">
      <c r="B687" s="12"/>
    </row>
    <row r="688" ht="15.75" customHeight="1">
      <c r="B688" s="12"/>
    </row>
    <row r="689" ht="15.75" customHeight="1">
      <c r="B689" s="12"/>
    </row>
    <row r="690" ht="15.75" customHeight="1">
      <c r="B690" s="12"/>
    </row>
    <row r="691" ht="15.75" customHeight="1">
      <c r="B691" s="12"/>
    </row>
    <row r="692" ht="15.75" customHeight="1">
      <c r="B692" s="12"/>
    </row>
    <row r="693" ht="15.75" customHeight="1">
      <c r="B693" s="12"/>
    </row>
    <row r="694" ht="15.75" customHeight="1">
      <c r="B694" s="12"/>
    </row>
    <row r="695" ht="15.75" customHeight="1">
      <c r="B695" s="12"/>
    </row>
    <row r="696" ht="15.75" customHeight="1">
      <c r="B696" s="12"/>
    </row>
    <row r="697" ht="15.75" customHeight="1">
      <c r="B697" s="12"/>
    </row>
    <row r="698" ht="15.75" customHeight="1">
      <c r="B698" s="12"/>
    </row>
    <row r="699" ht="15.75" customHeight="1">
      <c r="B699" s="12"/>
    </row>
    <row r="700" ht="15.75" customHeight="1">
      <c r="B700" s="12"/>
    </row>
    <row r="701" ht="15.75" customHeight="1">
      <c r="B701" s="12"/>
    </row>
    <row r="702" ht="15.75" customHeight="1">
      <c r="B702" s="12"/>
    </row>
    <row r="703" ht="15.75" customHeight="1">
      <c r="B703" s="12"/>
    </row>
    <row r="704" ht="15.75" customHeight="1">
      <c r="B704" s="12"/>
    </row>
    <row r="705" ht="15.75" customHeight="1">
      <c r="B705" s="12"/>
    </row>
    <row r="706" ht="15.75" customHeight="1">
      <c r="B706" s="12"/>
    </row>
    <row r="707" ht="15.75" customHeight="1">
      <c r="B707" s="12"/>
    </row>
    <row r="708" ht="15.75" customHeight="1">
      <c r="B708" s="12"/>
    </row>
    <row r="709" ht="15.75" customHeight="1">
      <c r="B709" s="12"/>
    </row>
    <row r="710" ht="15.75" customHeight="1">
      <c r="B710" s="12"/>
    </row>
    <row r="711" ht="15.75" customHeight="1">
      <c r="B711" s="12"/>
    </row>
    <row r="712" ht="15.75" customHeight="1">
      <c r="B712" s="12"/>
    </row>
    <row r="713" ht="15.75" customHeight="1">
      <c r="B713" s="12"/>
    </row>
    <row r="714" ht="15.75" customHeight="1">
      <c r="B714" s="12"/>
    </row>
    <row r="715" ht="15.75" customHeight="1">
      <c r="B715" s="12"/>
    </row>
    <row r="716" ht="15.75" customHeight="1">
      <c r="B716" s="12"/>
    </row>
    <row r="717" ht="15.75" customHeight="1">
      <c r="B717" s="12"/>
    </row>
    <row r="718" ht="15.75" customHeight="1">
      <c r="B718" s="12"/>
    </row>
    <row r="719" ht="15.75" customHeight="1">
      <c r="B719" s="12"/>
    </row>
    <row r="720" ht="15.75" customHeight="1">
      <c r="B720" s="12"/>
    </row>
    <row r="721" ht="15.75" customHeight="1">
      <c r="B721" s="12"/>
    </row>
    <row r="722" ht="15.75" customHeight="1">
      <c r="B722" s="12"/>
    </row>
    <row r="723" ht="15.75" customHeight="1">
      <c r="B723" s="12"/>
    </row>
    <row r="724" ht="15.75" customHeight="1">
      <c r="B724" s="12"/>
    </row>
    <row r="725" ht="15.75" customHeight="1">
      <c r="B725" s="12"/>
    </row>
    <row r="726" ht="15.75" customHeight="1">
      <c r="B726" s="12"/>
    </row>
    <row r="727" ht="15.75" customHeight="1">
      <c r="B727" s="12"/>
    </row>
    <row r="728" ht="15.75" customHeight="1">
      <c r="B728" s="12"/>
    </row>
    <row r="729" ht="15.75" customHeight="1">
      <c r="B729" s="12"/>
    </row>
    <row r="730" ht="15.75" customHeight="1">
      <c r="B730" s="12"/>
    </row>
    <row r="731" ht="15.75" customHeight="1">
      <c r="B731" s="12"/>
    </row>
    <row r="732" ht="15.75" customHeight="1">
      <c r="B732" s="12"/>
    </row>
    <row r="733" ht="15.75" customHeight="1">
      <c r="B733" s="12"/>
    </row>
    <row r="734" ht="15.75" customHeight="1">
      <c r="B734" s="12"/>
    </row>
    <row r="735" ht="15.75" customHeight="1">
      <c r="B735" s="12"/>
    </row>
    <row r="736" ht="15.75" customHeight="1">
      <c r="B736" s="12"/>
    </row>
    <row r="737" ht="15.75" customHeight="1">
      <c r="B737" s="12"/>
    </row>
    <row r="738" ht="15.75" customHeight="1">
      <c r="B738" s="12"/>
    </row>
    <row r="739" ht="15.75" customHeight="1">
      <c r="B739" s="12"/>
    </row>
    <row r="740" ht="15.75" customHeight="1">
      <c r="B740" s="12"/>
    </row>
    <row r="741" ht="15.75" customHeight="1">
      <c r="B741" s="12"/>
    </row>
    <row r="742" ht="15.75" customHeight="1">
      <c r="B742" s="12"/>
    </row>
    <row r="743" ht="15.75" customHeight="1">
      <c r="B743" s="12"/>
    </row>
    <row r="744" ht="15.75" customHeight="1">
      <c r="B744" s="12"/>
    </row>
    <row r="745" ht="15.75" customHeight="1">
      <c r="B745" s="12"/>
    </row>
    <row r="746" ht="15.75" customHeight="1">
      <c r="B746" s="12"/>
    </row>
    <row r="747" ht="15.75" customHeight="1">
      <c r="B747" s="12"/>
    </row>
    <row r="748" ht="15.75" customHeight="1">
      <c r="B748" s="12"/>
    </row>
    <row r="749" ht="15.75" customHeight="1">
      <c r="B749" s="12"/>
    </row>
    <row r="750" ht="15.75" customHeight="1">
      <c r="B750" s="12"/>
    </row>
    <row r="751" ht="15.75" customHeight="1">
      <c r="B751" s="12"/>
    </row>
    <row r="752" ht="15.75" customHeight="1">
      <c r="B752" s="12"/>
    </row>
    <row r="753" ht="15.75" customHeight="1">
      <c r="B753" s="12"/>
    </row>
    <row r="754" ht="15.75" customHeight="1">
      <c r="B754" s="12"/>
    </row>
    <row r="755" ht="15.75" customHeight="1">
      <c r="B755" s="12"/>
    </row>
    <row r="756" ht="15.75" customHeight="1">
      <c r="B756" s="12"/>
    </row>
    <row r="757" ht="15.75" customHeight="1">
      <c r="B757" s="12"/>
    </row>
    <row r="758" ht="15.75" customHeight="1">
      <c r="B758" s="12"/>
    </row>
    <row r="759" ht="15.75" customHeight="1">
      <c r="B759" s="12"/>
    </row>
    <row r="760" ht="15.75" customHeight="1">
      <c r="B760" s="12"/>
    </row>
    <row r="761" ht="15.75" customHeight="1">
      <c r="B761" s="12"/>
    </row>
    <row r="762" ht="15.75" customHeight="1">
      <c r="B762" s="12"/>
    </row>
    <row r="763" ht="15.75" customHeight="1">
      <c r="B763" s="12"/>
    </row>
    <row r="764" ht="15.75" customHeight="1">
      <c r="B764" s="12"/>
    </row>
    <row r="765" ht="15.75" customHeight="1">
      <c r="B765" s="12"/>
    </row>
    <row r="766" ht="15.75" customHeight="1">
      <c r="B766" s="12"/>
    </row>
    <row r="767" ht="15.75" customHeight="1">
      <c r="B767" s="12"/>
    </row>
    <row r="768" ht="15.75" customHeight="1">
      <c r="B768" s="12"/>
    </row>
    <row r="769" ht="15.75" customHeight="1">
      <c r="B769" s="12"/>
    </row>
    <row r="770" ht="15.75" customHeight="1">
      <c r="B770" s="12"/>
    </row>
    <row r="771" ht="15.75" customHeight="1">
      <c r="B771" s="12"/>
    </row>
    <row r="772" ht="15.75" customHeight="1">
      <c r="B772" s="12"/>
    </row>
    <row r="773" ht="15.75" customHeight="1">
      <c r="B773" s="12"/>
    </row>
    <row r="774" ht="15.75" customHeight="1">
      <c r="B774" s="12"/>
    </row>
    <row r="775" ht="15.75" customHeight="1">
      <c r="B775" s="12"/>
    </row>
    <row r="776" ht="15.75" customHeight="1">
      <c r="B776" s="12"/>
    </row>
    <row r="777" ht="15.75" customHeight="1">
      <c r="B777" s="12"/>
    </row>
    <row r="778" ht="15.75" customHeight="1">
      <c r="B778" s="12"/>
    </row>
    <row r="779" ht="15.75" customHeight="1">
      <c r="B779" s="12"/>
    </row>
    <row r="780" ht="15.75" customHeight="1">
      <c r="B780" s="12"/>
    </row>
    <row r="781" ht="15.75" customHeight="1">
      <c r="B781" s="12"/>
    </row>
    <row r="782" ht="15.75" customHeight="1">
      <c r="B782" s="12"/>
    </row>
    <row r="783" ht="15.75" customHeight="1">
      <c r="B783" s="12"/>
    </row>
    <row r="784" ht="15.75" customHeight="1">
      <c r="B784" s="12"/>
    </row>
    <row r="785" ht="15.75" customHeight="1">
      <c r="B785" s="12"/>
    </row>
    <row r="786" ht="15.75" customHeight="1">
      <c r="B786" s="12"/>
    </row>
    <row r="787" ht="15.75" customHeight="1">
      <c r="B787" s="12"/>
    </row>
    <row r="788" ht="15.75" customHeight="1">
      <c r="B788" s="12"/>
    </row>
    <row r="789" ht="15.75" customHeight="1">
      <c r="B789" s="12"/>
    </row>
    <row r="790" ht="15.75" customHeight="1">
      <c r="B790" s="12"/>
    </row>
    <row r="791" ht="15.75" customHeight="1">
      <c r="B791" s="12"/>
    </row>
    <row r="792" ht="15.75" customHeight="1">
      <c r="B792" s="12"/>
    </row>
    <row r="793" ht="15.75" customHeight="1">
      <c r="B793" s="12"/>
    </row>
    <row r="794" ht="15.75" customHeight="1">
      <c r="B794" s="12"/>
    </row>
    <row r="795" ht="15.75" customHeight="1">
      <c r="B795" s="12"/>
    </row>
    <row r="796" ht="15.75" customHeight="1">
      <c r="B796" s="12"/>
    </row>
    <row r="797" ht="15.75" customHeight="1">
      <c r="B797" s="12"/>
    </row>
    <row r="798" ht="15.75" customHeight="1">
      <c r="B798" s="12"/>
    </row>
    <row r="799" ht="15.75" customHeight="1">
      <c r="B799" s="12"/>
    </row>
    <row r="800" ht="15.75" customHeight="1">
      <c r="B800" s="12"/>
    </row>
    <row r="801" ht="15.75" customHeight="1">
      <c r="B801" s="12"/>
    </row>
    <row r="802" ht="15.75" customHeight="1">
      <c r="B802" s="12"/>
    </row>
    <row r="803" ht="15.75" customHeight="1">
      <c r="B803" s="12"/>
    </row>
    <row r="804" ht="15.75" customHeight="1">
      <c r="B804" s="12"/>
    </row>
    <row r="805" ht="15.75" customHeight="1">
      <c r="B805" s="12"/>
    </row>
    <row r="806" ht="15.75" customHeight="1">
      <c r="B806" s="12"/>
    </row>
    <row r="807" ht="15.75" customHeight="1">
      <c r="B807" s="12"/>
    </row>
    <row r="808" ht="15.75" customHeight="1">
      <c r="B808" s="12"/>
    </row>
    <row r="809" ht="15.75" customHeight="1">
      <c r="B809" s="12"/>
    </row>
    <row r="810" ht="15.75" customHeight="1">
      <c r="B810" s="12"/>
    </row>
    <row r="811" ht="15.75" customHeight="1">
      <c r="B811" s="12"/>
    </row>
    <row r="812" ht="15.75" customHeight="1">
      <c r="B812" s="12"/>
    </row>
    <row r="813" ht="15.75" customHeight="1">
      <c r="B813" s="12"/>
    </row>
    <row r="814" ht="15.75" customHeight="1">
      <c r="B814" s="12"/>
    </row>
    <row r="815" ht="15.75" customHeight="1">
      <c r="B815" s="12"/>
    </row>
    <row r="816" ht="15.75" customHeight="1">
      <c r="B816" s="12"/>
    </row>
    <row r="817" ht="15.75" customHeight="1">
      <c r="B817" s="12"/>
    </row>
    <row r="818" ht="15.75" customHeight="1">
      <c r="B818" s="12"/>
    </row>
    <row r="819" ht="15.75" customHeight="1">
      <c r="B819" s="12"/>
    </row>
    <row r="820" ht="15.75" customHeight="1">
      <c r="B820" s="12"/>
    </row>
    <row r="821" ht="15.75" customHeight="1">
      <c r="B821" s="12"/>
    </row>
    <row r="822" ht="15.75" customHeight="1">
      <c r="B822" s="12"/>
    </row>
    <row r="823" ht="15.75" customHeight="1">
      <c r="B823" s="12"/>
    </row>
    <row r="824" ht="15.75" customHeight="1">
      <c r="B824" s="12"/>
    </row>
    <row r="825" ht="15.75" customHeight="1">
      <c r="B825" s="12"/>
    </row>
    <row r="826" ht="15.75" customHeight="1">
      <c r="B826" s="12"/>
    </row>
    <row r="827" ht="15.75" customHeight="1">
      <c r="B827" s="12"/>
    </row>
    <row r="828" ht="15.75" customHeight="1">
      <c r="B828" s="12"/>
    </row>
    <row r="829" ht="15.75" customHeight="1">
      <c r="B829" s="12"/>
    </row>
    <row r="830" ht="15.75" customHeight="1">
      <c r="B830" s="12"/>
    </row>
    <row r="831" ht="15.75" customHeight="1">
      <c r="B831" s="12"/>
    </row>
    <row r="832" ht="15.75" customHeight="1">
      <c r="B832" s="12"/>
    </row>
    <row r="833" ht="15.75" customHeight="1">
      <c r="B833" s="12"/>
    </row>
    <row r="834" ht="15.75" customHeight="1">
      <c r="B834" s="12"/>
    </row>
    <row r="835" ht="15.75" customHeight="1">
      <c r="B835" s="12"/>
    </row>
    <row r="836" ht="15.75" customHeight="1">
      <c r="B836" s="12"/>
    </row>
    <row r="837" ht="15.75" customHeight="1">
      <c r="B837" s="12"/>
    </row>
    <row r="838" ht="15.75" customHeight="1">
      <c r="B838" s="12"/>
    </row>
    <row r="839" ht="15.75" customHeight="1">
      <c r="B839" s="12"/>
    </row>
    <row r="840" ht="15.75" customHeight="1">
      <c r="B840" s="12"/>
    </row>
    <row r="841" ht="15.75" customHeight="1">
      <c r="B841" s="12"/>
    </row>
    <row r="842" ht="15.75" customHeight="1">
      <c r="B842" s="12"/>
    </row>
    <row r="843" ht="15.75" customHeight="1">
      <c r="B843" s="12"/>
    </row>
    <row r="844" ht="15.75" customHeight="1">
      <c r="B844" s="12"/>
    </row>
    <row r="845" ht="15.75" customHeight="1">
      <c r="B845" s="12"/>
    </row>
    <row r="846" ht="15.75" customHeight="1">
      <c r="B846" s="12"/>
    </row>
    <row r="847" ht="15.75" customHeight="1">
      <c r="B847" s="12"/>
    </row>
    <row r="848" ht="15.75" customHeight="1">
      <c r="B848" s="12"/>
    </row>
    <row r="849" ht="15.75" customHeight="1">
      <c r="B849" s="12"/>
    </row>
    <row r="850" ht="15.75" customHeight="1">
      <c r="B850" s="12"/>
    </row>
    <row r="851" ht="15.75" customHeight="1">
      <c r="B851" s="12"/>
    </row>
    <row r="852" ht="15.75" customHeight="1">
      <c r="B852" s="12"/>
    </row>
    <row r="853" ht="15.75" customHeight="1">
      <c r="B853" s="12"/>
    </row>
    <row r="854" ht="15.75" customHeight="1">
      <c r="B854" s="12"/>
    </row>
    <row r="855" ht="15.75" customHeight="1">
      <c r="B855" s="12"/>
    </row>
    <row r="856" ht="15.75" customHeight="1">
      <c r="B856" s="12"/>
    </row>
    <row r="857" ht="15.75" customHeight="1">
      <c r="B857" s="12"/>
    </row>
    <row r="858" ht="15.75" customHeight="1">
      <c r="B858" s="12"/>
    </row>
    <row r="859" ht="15.75" customHeight="1">
      <c r="B859" s="12"/>
    </row>
    <row r="860" ht="15.75" customHeight="1">
      <c r="B860" s="12"/>
    </row>
    <row r="861" ht="15.75" customHeight="1">
      <c r="B861" s="12"/>
    </row>
    <row r="862" ht="15.75" customHeight="1">
      <c r="B862" s="12"/>
    </row>
    <row r="863" ht="15.75" customHeight="1">
      <c r="B863" s="12"/>
    </row>
    <row r="864" ht="15.75" customHeight="1">
      <c r="B864" s="12"/>
    </row>
    <row r="865" ht="15.75" customHeight="1">
      <c r="B865" s="12"/>
    </row>
    <row r="866" ht="15.75" customHeight="1">
      <c r="B866" s="12"/>
    </row>
    <row r="867" ht="15.75" customHeight="1">
      <c r="B867" s="12"/>
    </row>
    <row r="868" ht="15.75" customHeight="1">
      <c r="B868" s="12"/>
    </row>
    <row r="869" ht="15.75" customHeight="1">
      <c r="B869" s="12"/>
    </row>
    <row r="870" ht="15.75" customHeight="1">
      <c r="B870" s="12"/>
    </row>
    <row r="871" ht="15.75" customHeight="1">
      <c r="B871" s="12"/>
    </row>
    <row r="872" ht="15.75" customHeight="1">
      <c r="B872" s="12"/>
    </row>
    <row r="873" ht="15.75" customHeight="1">
      <c r="B873" s="12"/>
    </row>
    <row r="874" ht="15.75" customHeight="1">
      <c r="B874" s="12"/>
    </row>
    <row r="875" ht="15.75" customHeight="1">
      <c r="B875" s="12"/>
    </row>
    <row r="876" ht="15.75" customHeight="1">
      <c r="B876" s="12"/>
    </row>
    <row r="877" ht="15.75" customHeight="1">
      <c r="B877" s="12"/>
    </row>
    <row r="878" ht="15.75" customHeight="1">
      <c r="B878" s="12"/>
    </row>
    <row r="879" ht="15.75" customHeight="1">
      <c r="B879" s="12"/>
    </row>
    <row r="880" ht="15.75" customHeight="1">
      <c r="B880" s="12"/>
    </row>
    <row r="881" ht="15.75" customHeight="1">
      <c r="B881" s="12"/>
    </row>
    <row r="882" ht="15.75" customHeight="1">
      <c r="B882" s="12"/>
    </row>
    <row r="883" ht="15.75" customHeight="1">
      <c r="B883" s="12"/>
    </row>
    <row r="884" ht="15.75" customHeight="1">
      <c r="B884" s="12"/>
    </row>
    <row r="885" ht="15.75" customHeight="1">
      <c r="B885" s="12"/>
    </row>
    <row r="886" ht="15.75" customHeight="1">
      <c r="B886" s="12"/>
    </row>
    <row r="887" ht="15.75" customHeight="1">
      <c r="B887" s="12"/>
    </row>
    <row r="888" ht="15.75" customHeight="1">
      <c r="B888" s="12"/>
    </row>
    <row r="889" ht="15.75" customHeight="1">
      <c r="B889" s="12"/>
    </row>
    <row r="890" ht="15.75" customHeight="1">
      <c r="B890" s="12"/>
    </row>
    <row r="891" ht="15.75" customHeight="1">
      <c r="B891" s="12"/>
    </row>
    <row r="892" ht="15.75" customHeight="1">
      <c r="B892" s="12"/>
    </row>
    <row r="893" ht="15.75" customHeight="1">
      <c r="B893" s="12"/>
    </row>
    <row r="894" ht="15.75" customHeight="1">
      <c r="B894" s="12"/>
    </row>
    <row r="895" ht="15.75" customHeight="1">
      <c r="B895" s="12"/>
    </row>
    <row r="896" ht="15.75" customHeight="1">
      <c r="B896" s="12"/>
    </row>
    <row r="897" ht="15.75" customHeight="1">
      <c r="B897" s="12"/>
    </row>
    <row r="898" ht="15.75" customHeight="1">
      <c r="B898" s="12"/>
    </row>
    <row r="899" ht="15.75" customHeight="1">
      <c r="B899" s="12"/>
    </row>
    <row r="900" ht="15.75" customHeight="1">
      <c r="B900" s="12"/>
    </row>
    <row r="901" ht="15.75" customHeight="1">
      <c r="B901" s="12"/>
    </row>
    <row r="902" ht="15.75" customHeight="1">
      <c r="B902" s="12"/>
    </row>
    <row r="903" ht="15.75" customHeight="1">
      <c r="B903" s="12"/>
    </row>
    <row r="904" ht="15.75" customHeight="1">
      <c r="B904" s="12"/>
    </row>
    <row r="905" ht="15.75" customHeight="1">
      <c r="B905" s="12"/>
    </row>
    <row r="906" ht="15.75" customHeight="1">
      <c r="B906" s="12"/>
    </row>
    <row r="907" ht="15.75" customHeight="1">
      <c r="B907" s="12"/>
    </row>
    <row r="908" ht="15.75" customHeight="1">
      <c r="B908" s="12"/>
    </row>
    <row r="909" ht="15.75" customHeight="1">
      <c r="B909" s="12"/>
    </row>
    <row r="910" ht="15.75" customHeight="1">
      <c r="B910" s="12"/>
    </row>
    <row r="911" ht="15.75" customHeight="1">
      <c r="B911" s="12"/>
    </row>
    <row r="912" ht="15.75" customHeight="1">
      <c r="B912" s="12"/>
    </row>
    <row r="913" ht="15.75" customHeight="1">
      <c r="B913" s="12"/>
    </row>
    <row r="914" ht="15.75" customHeight="1">
      <c r="B914" s="12"/>
    </row>
    <row r="915" ht="15.75" customHeight="1">
      <c r="B915" s="12"/>
    </row>
    <row r="916" ht="15.75" customHeight="1">
      <c r="B916" s="12"/>
    </row>
    <row r="917" ht="15.75" customHeight="1">
      <c r="B917" s="12"/>
    </row>
    <row r="918" ht="15.75" customHeight="1">
      <c r="B918" s="12"/>
    </row>
    <row r="919" ht="15.75" customHeight="1">
      <c r="B919" s="12"/>
    </row>
    <row r="920" ht="15.75" customHeight="1">
      <c r="B920" s="12"/>
    </row>
    <row r="921" ht="15.75" customHeight="1">
      <c r="B921" s="12"/>
    </row>
    <row r="922" ht="15.75" customHeight="1">
      <c r="B922" s="12"/>
    </row>
    <row r="923" ht="15.75" customHeight="1">
      <c r="B923" s="12"/>
    </row>
    <row r="924" ht="15.75" customHeight="1">
      <c r="B924" s="12"/>
    </row>
    <row r="925" ht="15.75" customHeight="1">
      <c r="B925" s="12"/>
    </row>
    <row r="926" ht="15.75" customHeight="1">
      <c r="B926" s="12"/>
    </row>
    <row r="927" ht="15.75" customHeight="1">
      <c r="B927" s="12"/>
    </row>
    <row r="928" ht="15.75" customHeight="1">
      <c r="B928" s="12"/>
    </row>
    <row r="929" ht="15.75" customHeight="1">
      <c r="B929" s="12"/>
    </row>
    <row r="930" ht="15.75" customHeight="1">
      <c r="B930" s="12"/>
    </row>
    <row r="931" ht="15.75" customHeight="1">
      <c r="B931" s="12"/>
    </row>
    <row r="932" ht="15.75" customHeight="1">
      <c r="B932" s="12"/>
    </row>
    <row r="933" ht="15.75" customHeight="1">
      <c r="B933" s="12"/>
    </row>
    <row r="934" ht="15.75" customHeight="1">
      <c r="B934" s="12"/>
    </row>
    <row r="935" ht="15.75" customHeight="1">
      <c r="B935" s="12"/>
    </row>
    <row r="936" ht="15.75" customHeight="1">
      <c r="B936" s="12"/>
    </row>
    <row r="937" ht="15.75" customHeight="1">
      <c r="B937" s="12"/>
    </row>
    <row r="938" ht="15.75" customHeight="1">
      <c r="B938" s="12"/>
    </row>
    <row r="939" ht="15.75" customHeight="1">
      <c r="B939" s="12"/>
    </row>
    <row r="940" ht="15.75" customHeight="1">
      <c r="B940" s="12"/>
    </row>
    <row r="941" ht="15.75" customHeight="1">
      <c r="B941" s="12"/>
    </row>
    <row r="942" ht="15.75" customHeight="1">
      <c r="B942" s="12"/>
    </row>
    <row r="943" ht="15.75" customHeight="1">
      <c r="B943" s="12"/>
    </row>
    <row r="944" ht="15.75" customHeight="1">
      <c r="B944" s="12"/>
    </row>
    <row r="945" ht="15.75" customHeight="1">
      <c r="B945" s="12"/>
    </row>
    <row r="946" ht="15.75" customHeight="1">
      <c r="B946" s="12"/>
    </row>
    <row r="947" ht="15.75" customHeight="1">
      <c r="B947" s="12"/>
    </row>
    <row r="948" ht="15.75" customHeight="1">
      <c r="B948" s="12"/>
    </row>
    <row r="949" ht="15.75" customHeight="1">
      <c r="B949" s="12"/>
    </row>
    <row r="950" ht="15.75" customHeight="1">
      <c r="B950" s="12"/>
    </row>
    <row r="951" ht="15.75" customHeight="1">
      <c r="B951" s="12"/>
    </row>
    <row r="952" ht="15.75" customHeight="1">
      <c r="B952" s="12"/>
    </row>
    <row r="953" ht="15.75" customHeight="1">
      <c r="B953" s="12"/>
    </row>
    <row r="954" ht="15.75" customHeight="1">
      <c r="B954" s="12"/>
    </row>
    <row r="955" ht="15.75" customHeight="1">
      <c r="B955" s="12"/>
    </row>
    <row r="956" ht="15.75" customHeight="1">
      <c r="B956" s="12"/>
    </row>
    <row r="957" ht="15.75" customHeight="1">
      <c r="B957" s="12"/>
    </row>
    <row r="958" ht="15.75" customHeight="1">
      <c r="B958" s="12"/>
    </row>
    <row r="959" ht="15.75" customHeight="1">
      <c r="B959" s="12"/>
    </row>
    <row r="960" ht="15.75" customHeight="1">
      <c r="B960" s="12"/>
    </row>
    <row r="961" ht="15.75" customHeight="1">
      <c r="B961" s="12"/>
    </row>
    <row r="962" ht="15.75" customHeight="1">
      <c r="B962" s="12"/>
    </row>
    <row r="963" ht="15.75" customHeight="1">
      <c r="B963" s="12"/>
    </row>
    <row r="964" ht="15.75" customHeight="1">
      <c r="B964" s="12"/>
    </row>
    <row r="965" ht="15.75" customHeight="1">
      <c r="B965" s="12"/>
    </row>
    <row r="966" ht="15.75" customHeight="1">
      <c r="B966" s="12"/>
    </row>
    <row r="967" ht="15.75" customHeight="1">
      <c r="B967" s="12"/>
    </row>
    <row r="968" ht="15.75" customHeight="1">
      <c r="B968" s="12"/>
    </row>
    <row r="969" ht="15.75" customHeight="1">
      <c r="B969" s="12"/>
    </row>
    <row r="970" ht="15.75" customHeight="1">
      <c r="B970" s="12"/>
    </row>
    <row r="971" ht="15.75" customHeight="1">
      <c r="B971" s="12"/>
    </row>
    <row r="972" ht="15.75" customHeight="1">
      <c r="B972" s="12"/>
    </row>
    <row r="973" ht="15.75" customHeight="1">
      <c r="B973" s="12"/>
    </row>
    <row r="974" ht="15.75" customHeight="1">
      <c r="B974" s="12"/>
    </row>
    <row r="975" ht="15.75" customHeight="1">
      <c r="B975" s="12"/>
    </row>
    <row r="976" ht="15.75" customHeight="1">
      <c r="B976" s="12"/>
    </row>
    <row r="977" ht="15.75" customHeight="1">
      <c r="B977" s="12"/>
    </row>
    <row r="978" ht="15.75" customHeight="1">
      <c r="B978" s="12"/>
    </row>
    <row r="979" ht="15.75" customHeight="1">
      <c r="B979" s="12"/>
    </row>
    <row r="980" ht="15.75" customHeight="1">
      <c r="B980" s="12"/>
    </row>
    <row r="981" ht="15.75" customHeight="1">
      <c r="B981" s="12"/>
    </row>
    <row r="982" ht="15.75" customHeight="1">
      <c r="B982" s="12"/>
    </row>
    <row r="983" ht="15.75" customHeight="1">
      <c r="B983" s="12"/>
    </row>
    <row r="984" ht="15.75" customHeight="1">
      <c r="B984" s="12"/>
    </row>
    <row r="985" ht="15.75" customHeight="1">
      <c r="B985" s="12"/>
    </row>
    <row r="986" ht="15.75" customHeight="1">
      <c r="B986" s="12"/>
    </row>
    <row r="987" ht="15.75" customHeight="1">
      <c r="B987" s="12"/>
    </row>
    <row r="988" ht="15.75" customHeight="1">
      <c r="B988" s="12"/>
    </row>
    <row r="989" ht="15.75" customHeight="1">
      <c r="B989" s="12"/>
    </row>
    <row r="990" ht="15.75" customHeight="1">
      <c r="B990" s="12"/>
    </row>
    <row r="991" ht="15.75" customHeight="1">
      <c r="B991" s="12"/>
    </row>
    <row r="992" ht="15.75" customHeight="1">
      <c r="B992" s="12"/>
    </row>
    <row r="993" ht="15.75" customHeight="1">
      <c r="B993" s="12"/>
    </row>
    <row r="994" ht="15.75" customHeight="1">
      <c r="B994" s="12"/>
    </row>
    <row r="995" ht="15.75" customHeight="1">
      <c r="B995" s="12"/>
    </row>
    <row r="996" ht="15.75" customHeight="1">
      <c r="B996" s="12"/>
    </row>
    <row r="997" ht="15.75" customHeight="1">
      <c r="B997" s="12"/>
    </row>
    <row r="998" ht="15.75" customHeight="1">
      <c r="B998" s="12"/>
    </row>
    <row r="999" ht="15.75" customHeight="1">
      <c r="B999" s="12"/>
    </row>
    <row r="1000" ht="15.75" customHeight="1">
      <c r="B100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3.43"/>
    <col customWidth="1" min="3" max="3" width="27.43"/>
    <col customWidth="1" hidden="1" min="4" max="4" width="5.71"/>
    <col customWidth="1" hidden="1" min="5" max="5" width="5.0"/>
    <col customWidth="1" min="6" max="6" width="16.71"/>
    <col customWidth="1" min="7" max="17" width="6.71"/>
    <col customWidth="1" min="18" max="26" width="13.29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3"/>
      <c r="B2" s="14" t="s">
        <v>12</v>
      </c>
      <c r="C2" s="15" t="s">
        <v>13</v>
      </c>
      <c r="D2" s="15"/>
      <c r="E2" s="15"/>
      <c r="F2" s="16" t="s">
        <v>14</v>
      </c>
      <c r="G2" s="16">
        <f>COUNTA(C3:C1048576)</f>
        <v>6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7" t="s">
        <v>15</v>
      </c>
      <c r="C3" s="18" t="s">
        <v>16</v>
      </c>
      <c r="D3" s="19"/>
      <c r="E3" s="19"/>
      <c r="F3" s="20"/>
      <c r="G3" s="20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21"/>
      <c r="C4" s="18" t="s">
        <v>17</v>
      </c>
      <c r="D4" s="19"/>
      <c r="E4" s="19"/>
      <c r="F4" s="20"/>
      <c r="G4" s="2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21"/>
      <c r="C5" s="18" t="s">
        <v>18</v>
      </c>
      <c r="D5" s="19"/>
      <c r="E5" s="19"/>
      <c r="F5" s="20"/>
      <c r="G5" s="20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21"/>
      <c r="C6" s="18" t="s">
        <v>19</v>
      </c>
      <c r="D6" s="19"/>
      <c r="E6" s="19"/>
      <c r="F6" s="20"/>
      <c r="G6" s="20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21"/>
      <c r="C7" s="18" t="s">
        <v>20</v>
      </c>
      <c r="D7" s="19"/>
      <c r="E7" s="19"/>
      <c r="F7" s="20"/>
      <c r="G7" s="20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22"/>
      <c r="C8" s="18" t="s">
        <v>21</v>
      </c>
      <c r="D8" s="19"/>
      <c r="E8" s="19"/>
      <c r="F8" s="23"/>
      <c r="G8" s="2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2">
    <mergeCell ref="F2:F8"/>
    <mergeCell ref="G2:G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0.43"/>
    <col customWidth="1" min="3" max="3" width="38.0"/>
    <col customWidth="1" min="4" max="4" width="33.14"/>
    <col customWidth="1" min="5" max="5" width="27.71"/>
    <col customWidth="1" min="6" max="6" width="27.29"/>
    <col customWidth="1" min="7" max="7" width="27.43"/>
    <col customWidth="1" min="8" max="8" width="20.0"/>
    <col customWidth="1" min="9" max="60" width="7.0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</row>
    <row r="2">
      <c r="A2" s="25"/>
      <c r="B2" s="26" t="str">
        <f>'Ad Groups'!C3</f>
        <v>Emergency Plumbing</v>
      </c>
      <c r="C2" s="26" t="str">
        <f>IF('Ad Groups'!C4=0," ",'Ad Groups'!C4)</f>
        <v>Residential Plumbing</v>
      </c>
      <c r="D2" s="26" t="str">
        <f>IF('Ad Groups'!C5=0," ",'Ad Groups'!C5)</f>
        <v>Commercial Plumbing</v>
      </c>
      <c r="E2" s="26" t="str">
        <f>IF('Ad Groups'!C6=0," ",'Ad Groups'!C6)</f>
        <v>Leak Detection</v>
      </c>
      <c r="F2" s="26" t="str">
        <f>IF('Ad Groups'!C7=0," ",'Ad Groups'!C7)</f>
        <v>Drain Cleaning</v>
      </c>
      <c r="G2" s="26" t="str">
        <f>IF('Ad Groups'!C8=0," ",'Ad Groups'!C8)</f>
        <v>Geyser Replacement &amp; Repairs</v>
      </c>
      <c r="H2" s="27" t="str">
        <f>IF('Ad Groups'!C9=0," ",'Ad Groups'!C9)</f>
        <v> </v>
      </c>
      <c r="I2" s="27" t="str">
        <f>IF('Ad Groups'!C10=0," ",'Ad Groups'!C10)</f>
        <v> </v>
      </c>
      <c r="J2" s="27" t="str">
        <f>IF('Campaign Settings'!B1=0," ",'Campaign Settings'!B1)</f>
        <v> </v>
      </c>
      <c r="K2" s="27" t="str">
        <f>IF('Campaign Settings'!B2=0," ",'Campaign Settings'!B2)</f>
        <v> </v>
      </c>
      <c r="L2" s="27"/>
      <c r="M2" s="27"/>
      <c r="N2" s="27"/>
      <c r="O2" s="27"/>
      <c r="P2" s="27"/>
      <c r="Q2" s="27"/>
      <c r="R2" s="27" t="str">
        <f>IF('Campaign Settings'!B9=0," ",'Campaign Settings'!B9)</f>
        <v> </v>
      </c>
      <c r="S2" s="27" t="str">
        <f>IF('Campaign Settings'!B10=0," ",'Campaign Settings'!B10)</f>
        <v> See Keywords</v>
      </c>
      <c r="T2" s="27" t="str">
        <f>IF('Ad Groups'!C21=0," ",'Ad Groups'!C21)</f>
        <v> </v>
      </c>
      <c r="U2" s="27" t="str">
        <f>IF('Ad Groups'!C22=0," ",'Ad Groups'!C22)</f>
        <v> </v>
      </c>
      <c r="V2" s="27" t="str">
        <f>IF('Ad Groups'!C23=0," ",'Ad Groups'!C23)</f>
        <v> </v>
      </c>
      <c r="W2" s="27" t="str">
        <f>IF('Ad Groups'!C24=0," ",'Ad Groups'!C24)</f>
        <v> </v>
      </c>
      <c r="X2" s="27" t="str">
        <f>IF('Ad Groups'!C25=0," ",'Ad Groups'!C25)</f>
        <v> </v>
      </c>
      <c r="Y2" s="27" t="str">
        <f>IF('Ad Groups'!C26=0," ",'Ad Groups'!C26)</f>
        <v> </v>
      </c>
      <c r="Z2" s="27" t="str">
        <f>IF('Ad Groups'!C27=0," ",'Ad Groups'!C27)</f>
        <v> </v>
      </c>
      <c r="AA2" s="27" t="str">
        <f>IF('Ad Groups'!C28=0," ",'Ad Groups'!C28)</f>
        <v> </v>
      </c>
      <c r="AB2" s="27" t="str">
        <f>IF('Ad Groups'!C29=0," ",'Ad Groups'!C29)</f>
        <v> </v>
      </c>
      <c r="AC2" s="27" t="str">
        <f>IF('Ad Groups'!C30=0," ",'Ad Groups'!C30)</f>
        <v> </v>
      </c>
      <c r="AD2" s="27" t="str">
        <f>IF('Ad Groups'!C31=0," ",'Ad Groups'!C31)</f>
        <v> </v>
      </c>
      <c r="AE2" s="27" t="str">
        <f>IF('Ad Groups'!C32=0," ",'Ad Groups'!C32)</f>
        <v> </v>
      </c>
      <c r="AF2" s="27" t="str">
        <f>IF('Ad Groups'!C33=0," ",'Ad Groups'!C33)</f>
        <v> </v>
      </c>
      <c r="AG2" s="27" t="str">
        <f>IF('Ad Groups'!C34=0," ",'Ad Groups'!C34)</f>
        <v> </v>
      </c>
      <c r="AH2" s="27" t="str">
        <f>IF('Ad Groups'!C35=0," ",'Ad Groups'!C35)</f>
        <v> </v>
      </c>
      <c r="AI2" s="27" t="str">
        <f>IF('Ad Groups'!C36=0," ",'Ad Groups'!C36)</f>
        <v> </v>
      </c>
      <c r="AJ2" s="27" t="str">
        <f>IF('Ad Groups'!C37=0," ",'Ad Groups'!C37)</f>
        <v> </v>
      </c>
      <c r="AK2" s="27" t="str">
        <f>IF('Ad Groups'!C38=0," ",'Ad Groups'!C38)</f>
        <v> </v>
      </c>
      <c r="AL2" s="27" t="str">
        <f>IF('Ad Groups'!C39=0," ",'Ad Groups'!C39)</f>
        <v> </v>
      </c>
      <c r="AM2" s="27" t="str">
        <f>IF('Ad Groups'!C40=0," ",'Ad Groups'!C40)</f>
        <v> </v>
      </c>
      <c r="AN2" s="27" t="str">
        <f>IF('Ad Groups'!C41=0," ",'Ad Groups'!C41)</f>
        <v> </v>
      </c>
      <c r="AO2" s="27" t="str">
        <f>IF('Ad Groups'!C42=0," ",'Ad Groups'!C42)</f>
        <v> </v>
      </c>
      <c r="AP2" s="27" t="str">
        <f>IF('Ad Groups'!C43=0," ",'Ad Groups'!C43)</f>
        <v> </v>
      </c>
      <c r="AQ2" s="27" t="str">
        <f>IF('Ad Groups'!C44=0," ",'Ad Groups'!C44)</f>
        <v> </v>
      </c>
      <c r="AR2" s="27" t="str">
        <f>IF('Ad Groups'!C45=0," ",'Ad Groups'!C45)</f>
        <v> </v>
      </c>
      <c r="AS2" s="27" t="str">
        <f>IF('Ad Groups'!C46=0," ",'Ad Groups'!C46)</f>
        <v> </v>
      </c>
      <c r="AT2" s="27" t="str">
        <f>IF('Ad Groups'!C47=0," ",'Ad Groups'!C47)</f>
        <v> </v>
      </c>
      <c r="AU2" s="27" t="str">
        <f>IF('Ad Groups'!C48=0," ",'Ad Groups'!C48)</f>
        <v> </v>
      </c>
      <c r="AV2" s="27" t="str">
        <f>IF('Ad Groups'!C49=0," ",'Ad Groups'!C49)</f>
        <v> </v>
      </c>
      <c r="AW2" s="27" t="str">
        <f>IF('Ad Groups'!C50=0," ",'Ad Groups'!C50)</f>
        <v> </v>
      </c>
      <c r="AX2" s="27" t="str">
        <f>IF('Ad Groups'!C51=0," ",'Ad Groups'!C51)</f>
        <v> </v>
      </c>
      <c r="AY2" s="27" t="str">
        <f>IF('Ad Groups'!C52=0," ",'Ad Groups'!C52)</f>
        <v> </v>
      </c>
      <c r="AZ2" s="27" t="str">
        <f>IF('Ad Groups'!C53=0," ",'Ad Groups'!C53)</f>
        <v> </v>
      </c>
      <c r="BA2" s="27" t="str">
        <f>IF('Ad Groups'!C54=0," ",'Ad Groups'!C54)</f>
        <v> </v>
      </c>
      <c r="BB2" s="27" t="str">
        <f>IF('Ad Groups'!C55=0," ",'Ad Groups'!C55)</f>
        <v> </v>
      </c>
      <c r="BC2" s="27" t="str">
        <f>IF('Ad Groups'!C56=0," ",'Ad Groups'!C56)</f>
        <v> </v>
      </c>
      <c r="BD2" s="27" t="str">
        <f>IF('Ad Groups'!C57=0," ",'Ad Groups'!C57)</f>
        <v> </v>
      </c>
      <c r="BE2" s="27" t="str">
        <f>IF('Ad Groups'!C58=0," ",'Ad Groups'!C58)</f>
        <v> </v>
      </c>
      <c r="BF2" s="27" t="str">
        <f>IF('Ad Groups'!C59=0," ",'Ad Groups'!C59)</f>
        <v> </v>
      </c>
      <c r="BG2" s="27" t="str">
        <f>IF('Ad Groups'!C60=0," ",'Ad Groups'!C60)</f>
        <v> </v>
      </c>
      <c r="BH2" s="28"/>
    </row>
    <row r="3">
      <c r="A3" s="25"/>
      <c r="B3" s="29" t="s">
        <v>22</v>
      </c>
      <c r="C3" s="29" t="s">
        <v>23</v>
      </c>
      <c r="D3" s="29" t="s">
        <v>24</v>
      </c>
      <c r="E3" s="30" t="s">
        <v>25</v>
      </c>
      <c r="F3" s="29" t="s">
        <v>26</v>
      </c>
      <c r="G3" s="29" t="s">
        <v>27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8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</row>
    <row r="4">
      <c r="A4" s="25"/>
      <c r="B4" s="29" t="s">
        <v>28</v>
      </c>
      <c r="C4" s="29" t="s">
        <v>29</v>
      </c>
      <c r="D4" s="29" t="s">
        <v>30</v>
      </c>
      <c r="E4" s="30" t="s">
        <v>31</v>
      </c>
      <c r="F4" s="29" t="s">
        <v>32</v>
      </c>
      <c r="G4" s="29" t="s">
        <v>33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8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>
      <c r="A5" s="25"/>
      <c r="B5" s="29" t="s">
        <v>34</v>
      </c>
      <c r="C5" s="29" t="s">
        <v>35</v>
      </c>
      <c r="D5" s="29" t="s">
        <v>36</v>
      </c>
      <c r="E5" s="30" t="s">
        <v>37</v>
      </c>
      <c r="F5" s="29" t="s">
        <v>38</v>
      </c>
      <c r="G5" s="29" t="s">
        <v>39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8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</row>
    <row r="6">
      <c r="A6" s="25"/>
      <c r="B6" s="29" t="s">
        <v>40</v>
      </c>
      <c r="C6" s="29" t="s">
        <v>41</v>
      </c>
      <c r="D6" s="29" t="s">
        <v>42</v>
      </c>
      <c r="E6" s="30" t="s">
        <v>43</v>
      </c>
      <c r="F6" s="29" t="s">
        <v>44</v>
      </c>
      <c r="G6" s="29" t="s">
        <v>45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8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</row>
    <row r="7">
      <c r="A7" s="25"/>
      <c r="B7" s="29" t="s">
        <v>46</v>
      </c>
      <c r="C7" s="29" t="s">
        <v>47</v>
      </c>
      <c r="D7" s="29" t="s">
        <v>48</v>
      </c>
      <c r="E7" s="30" t="s">
        <v>49</v>
      </c>
      <c r="F7" s="31" t="s">
        <v>50</v>
      </c>
      <c r="G7" s="31" t="s">
        <v>51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8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</row>
    <row r="8">
      <c r="A8" s="25"/>
      <c r="B8" s="29" t="s">
        <v>52</v>
      </c>
      <c r="C8" s="29" t="s">
        <v>53</v>
      </c>
      <c r="D8" s="29" t="s">
        <v>54</v>
      </c>
      <c r="E8" s="30" t="s">
        <v>55</v>
      </c>
      <c r="F8" s="31" t="s">
        <v>56</v>
      </c>
      <c r="G8" s="31" t="s">
        <v>57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8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>
      <c r="A9" s="25"/>
      <c r="B9" s="29" t="s">
        <v>58</v>
      </c>
      <c r="C9" s="29" t="s">
        <v>59</v>
      </c>
      <c r="D9" s="29" t="s">
        <v>60</v>
      </c>
      <c r="E9" s="30" t="s">
        <v>61</v>
      </c>
      <c r="F9" s="29" t="s">
        <v>62</v>
      </c>
      <c r="G9" s="29" t="s">
        <v>63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8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>
      <c r="A10" s="25"/>
      <c r="B10" s="29" t="s">
        <v>64</v>
      </c>
      <c r="C10" s="29" t="s">
        <v>65</v>
      </c>
      <c r="D10" s="29" t="s">
        <v>66</v>
      </c>
      <c r="E10" s="30" t="s">
        <v>67</v>
      </c>
      <c r="F10" s="29" t="s">
        <v>68</v>
      </c>
      <c r="G10" s="29" t="s">
        <v>69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8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>
      <c r="A11" s="25"/>
      <c r="B11" s="25"/>
      <c r="E11" s="32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8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</row>
    <row r="12">
      <c r="A12" s="25"/>
      <c r="B12" s="25"/>
      <c r="E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8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</row>
    <row r="13">
      <c r="A13" s="25"/>
      <c r="B13" s="25"/>
      <c r="F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8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</row>
    <row r="14">
      <c r="A14" s="25"/>
      <c r="B14" s="25"/>
      <c r="G14" s="28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8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</row>
    <row r="15">
      <c r="A15" s="25"/>
      <c r="B15" s="25"/>
      <c r="C15" s="25"/>
      <c r="D15" s="33"/>
      <c r="F15" s="25"/>
      <c r="G15" s="28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8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</row>
    <row r="16">
      <c r="A16" s="25"/>
      <c r="B16" s="25"/>
      <c r="C16" s="25"/>
      <c r="F16" s="25"/>
      <c r="G16" s="28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8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</row>
    <row r="17">
      <c r="A17" s="25"/>
      <c r="B17" s="25"/>
      <c r="C17" s="25"/>
      <c r="D17" s="25"/>
      <c r="F17" s="25"/>
      <c r="G17" s="28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8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</row>
    <row r="18">
      <c r="A18" s="25"/>
      <c r="B18" s="25"/>
      <c r="C18" s="25"/>
      <c r="D18" s="25"/>
      <c r="E18" s="25"/>
      <c r="F18" s="25"/>
      <c r="G18" s="28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8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</row>
    <row r="19">
      <c r="A19" s="25"/>
      <c r="B19" s="25"/>
      <c r="C19" s="25"/>
      <c r="D19" s="25"/>
      <c r="F19" s="25"/>
      <c r="G19" s="28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8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0">
      <c r="A20" s="25"/>
      <c r="B20" s="25"/>
      <c r="C20" s="25"/>
      <c r="D20" s="25"/>
      <c r="E20" s="25"/>
      <c r="F20" s="25"/>
      <c r="G20" s="28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8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</row>
    <row r="21" ht="15.75" customHeight="1">
      <c r="A21" s="25"/>
      <c r="B21" s="25"/>
      <c r="C21" s="25"/>
      <c r="D21" s="25"/>
      <c r="E21" s="25"/>
      <c r="F21" s="25"/>
      <c r="G21" s="2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8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</row>
    <row r="22" ht="15.75" customHeight="1">
      <c r="A22" s="25"/>
      <c r="B22" s="25"/>
      <c r="C22" s="25"/>
      <c r="D22" s="25"/>
      <c r="E22" s="25"/>
      <c r="F22" s="25"/>
      <c r="G22" s="28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8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8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8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5"/>
      <c r="C24" s="25"/>
      <c r="D24" s="25"/>
      <c r="E24" s="25"/>
      <c r="F24" s="25"/>
      <c r="G24" s="2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8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8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8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8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8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8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8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8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7.86"/>
    <col customWidth="1" min="3" max="4" width="33.14"/>
    <col customWidth="1" min="5" max="5" width="29.57"/>
    <col customWidth="1" min="6" max="8" width="33.14"/>
    <col customWidth="1" min="9" max="60" width="6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>
      <c r="A2" s="3"/>
      <c r="B2" s="34" t="s">
        <v>70</v>
      </c>
      <c r="C2" s="35" t="str">
        <f>Keywords!B2</f>
        <v>Emergency Plumbing</v>
      </c>
      <c r="D2" s="35" t="str">
        <f>Keywords!C2</f>
        <v>Residential Plumbing</v>
      </c>
      <c r="E2" s="35" t="str">
        <f>Keywords!D2</f>
        <v>Commercial Plumbing</v>
      </c>
      <c r="F2" s="35" t="str">
        <f>Keywords!E2</f>
        <v>Leak Detection</v>
      </c>
      <c r="G2" s="35" t="str">
        <f>Keywords!F2</f>
        <v>Drain Cleaning</v>
      </c>
      <c r="H2" s="35" t="str">
        <f>Keywords!G2</f>
        <v>Geyser Replacement &amp; Repairs</v>
      </c>
      <c r="I2" s="36" t="str">
        <f>IF('Ad Groups'!C9=0," ",'Ad Groups'!C9)</f>
        <v> </v>
      </c>
      <c r="J2" s="36" t="str">
        <f>IF('Ad Groups'!C10=0," ",'Ad Groups'!C10)</f>
        <v> </v>
      </c>
      <c r="K2" s="36" t="str">
        <f>IF('Campaign Settings'!B1=0," ",'Campaign Settings'!B1)</f>
        <v> </v>
      </c>
      <c r="L2" s="36" t="str">
        <f>IF('Campaign Settings'!B2=0," ",'Campaign Settings'!B2)</f>
        <v> </v>
      </c>
      <c r="M2" s="36"/>
      <c r="N2" s="36"/>
      <c r="O2" s="36"/>
      <c r="P2" s="36"/>
      <c r="Q2" s="36"/>
      <c r="R2" s="36"/>
      <c r="S2" s="36" t="str">
        <f>IF('Campaign Settings'!B9=0," ",'Campaign Settings'!B9)</f>
        <v> </v>
      </c>
      <c r="T2" s="36" t="str">
        <f>IF('Campaign Settings'!B10=0," ",'Campaign Settings'!B10)</f>
        <v> See Keywords</v>
      </c>
      <c r="U2" s="36" t="str">
        <f>IF('Ad Groups'!C21=0," ",'Ad Groups'!C21)</f>
        <v> </v>
      </c>
      <c r="V2" s="36" t="str">
        <f>IF('Ad Groups'!C22=0," ",'Ad Groups'!C22)</f>
        <v> </v>
      </c>
      <c r="W2" s="36" t="str">
        <f>IF('Ad Groups'!C23=0," ",'Ad Groups'!C23)</f>
        <v> </v>
      </c>
      <c r="X2" s="36" t="str">
        <f>IF('Ad Groups'!C24=0," ",'Ad Groups'!C24)</f>
        <v> </v>
      </c>
      <c r="Y2" s="36" t="str">
        <f>IF('Ad Groups'!C25=0," ",'Ad Groups'!C25)</f>
        <v> </v>
      </c>
      <c r="Z2" s="36" t="str">
        <f>IF('Ad Groups'!C26=0," ",'Ad Groups'!C26)</f>
        <v> </v>
      </c>
      <c r="AA2" s="36" t="str">
        <f>IF('Ad Groups'!C27=0," ",'Ad Groups'!C27)</f>
        <v> </v>
      </c>
      <c r="AB2" s="36" t="str">
        <f>IF('Ad Groups'!C28=0," ",'Ad Groups'!C28)</f>
        <v> </v>
      </c>
      <c r="AC2" s="36" t="str">
        <f>IF('Ad Groups'!C29=0," ",'Ad Groups'!C29)</f>
        <v> </v>
      </c>
      <c r="AD2" s="36" t="str">
        <f>IF('Ad Groups'!C30=0," ",'Ad Groups'!C30)</f>
        <v> </v>
      </c>
      <c r="AE2" s="36" t="str">
        <f>IF('Ad Groups'!C31=0," ",'Ad Groups'!C31)</f>
        <v> </v>
      </c>
      <c r="AF2" s="36" t="str">
        <f>IF('Ad Groups'!C32=0," ",'Ad Groups'!C32)</f>
        <v> </v>
      </c>
      <c r="AG2" s="36" t="str">
        <f>IF('Ad Groups'!C33=0," ",'Ad Groups'!C33)</f>
        <v> </v>
      </c>
      <c r="AH2" s="36" t="str">
        <f>IF('Ad Groups'!C34=0," ",'Ad Groups'!C34)</f>
        <v> </v>
      </c>
      <c r="AI2" s="36" t="str">
        <f>IF('Ad Groups'!C35=0," ",'Ad Groups'!C35)</f>
        <v> </v>
      </c>
      <c r="AJ2" s="36" t="str">
        <f>IF('Ad Groups'!C36=0," ",'Ad Groups'!C36)</f>
        <v> </v>
      </c>
      <c r="AK2" s="36" t="str">
        <f>IF('Ad Groups'!C37=0," ",'Ad Groups'!C37)</f>
        <v> </v>
      </c>
      <c r="AL2" s="36" t="str">
        <f>IF('Ad Groups'!C38=0," ",'Ad Groups'!C38)</f>
        <v> </v>
      </c>
      <c r="AM2" s="36" t="str">
        <f>IF('Ad Groups'!C39=0," ",'Ad Groups'!C39)</f>
        <v> </v>
      </c>
      <c r="AN2" s="36" t="str">
        <f>IF('Ad Groups'!C40=0," ",'Ad Groups'!C40)</f>
        <v> </v>
      </c>
      <c r="AO2" s="36" t="str">
        <f>IF('Ad Groups'!C41=0," ",'Ad Groups'!C41)</f>
        <v> </v>
      </c>
      <c r="AP2" s="36" t="str">
        <f>IF('Ad Groups'!C42=0," ",'Ad Groups'!C42)</f>
        <v> </v>
      </c>
      <c r="AQ2" s="36" t="str">
        <f>IF('Ad Groups'!C43=0," ",'Ad Groups'!C43)</f>
        <v> </v>
      </c>
      <c r="AR2" s="36" t="str">
        <f>IF('Ad Groups'!C44=0," ",'Ad Groups'!C44)</f>
        <v> </v>
      </c>
      <c r="AS2" s="36" t="str">
        <f>IF('Ad Groups'!C45=0," ",'Ad Groups'!C45)</f>
        <v> </v>
      </c>
      <c r="AT2" s="36" t="str">
        <f>IF('Ad Groups'!C46=0," ",'Ad Groups'!C46)</f>
        <v> </v>
      </c>
      <c r="AU2" s="36" t="str">
        <f>IF('Ad Groups'!C47=0," ",'Ad Groups'!C47)</f>
        <v> </v>
      </c>
      <c r="AV2" s="36" t="str">
        <f>IF('Ad Groups'!C48=0," ",'Ad Groups'!C48)</f>
        <v> </v>
      </c>
      <c r="AW2" s="36" t="str">
        <f>IF('Ad Groups'!C49=0," ",'Ad Groups'!C49)</f>
        <v> </v>
      </c>
      <c r="AX2" s="36" t="str">
        <f>IF('Ad Groups'!C50=0," ",'Ad Groups'!C50)</f>
        <v> </v>
      </c>
      <c r="AY2" s="36" t="str">
        <f>IF('Ad Groups'!C51=0," ",'Ad Groups'!C51)</f>
        <v> </v>
      </c>
      <c r="AZ2" s="36" t="str">
        <f>IF('Ad Groups'!C52=0," ",'Ad Groups'!C52)</f>
        <v> </v>
      </c>
      <c r="BA2" s="36" t="str">
        <f>IF('Ad Groups'!C53=0," ",'Ad Groups'!C53)</f>
        <v> </v>
      </c>
      <c r="BB2" s="36" t="str">
        <f>IF('Ad Groups'!C54=0," ",'Ad Groups'!C54)</f>
        <v> </v>
      </c>
      <c r="BC2" s="36" t="str">
        <f>IF('Ad Groups'!C55=0," ",'Ad Groups'!C55)</f>
        <v> </v>
      </c>
      <c r="BD2" s="36" t="str">
        <f>IF('Ad Groups'!C56=0," ",'Ad Groups'!C56)</f>
        <v> </v>
      </c>
      <c r="BE2" s="36" t="str">
        <f>IF('Ad Groups'!C57=0," ",'Ad Groups'!C57)</f>
        <v> </v>
      </c>
      <c r="BF2" s="36" t="str">
        <f>IF('Ad Groups'!C58=0," ",'Ad Groups'!C58)</f>
        <v> </v>
      </c>
      <c r="BG2" s="36" t="str">
        <f>IF('Ad Groups'!C59=0," ",'Ad Groups'!C59)</f>
        <v> </v>
      </c>
      <c r="BH2" s="36" t="str">
        <f>IF('Ad Groups'!C60=0," ",'Ad Groups'!C60)</f>
        <v> </v>
      </c>
    </row>
    <row r="3">
      <c r="A3" s="3"/>
      <c r="B3" s="37"/>
      <c r="C3" s="38" t="s">
        <v>23</v>
      </c>
      <c r="D3" s="38" t="s">
        <v>22</v>
      </c>
      <c r="E3" s="38" t="s">
        <v>22</v>
      </c>
      <c r="F3" s="38" t="s">
        <v>22</v>
      </c>
      <c r="G3" s="38" t="s">
        <v>22</v>
      </c>
      <c r="H3" s="38" t="s">
        <v>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>
      <c r="A4" s="3"/>
      <c r="B4" s="39" t="s">
        <v>71</v>
      </c>
      <c r="C4" s="38" t="s">
        <v>29</v>
      </c>
      <c r="D4" s="38" t="s">
        <v>28</v>
      </c>
      <c r="E4" s="38" t="s">
        <v>28</v>
      </c>
      <c r="F4" s="38" t="s">
        <v>28</v>
      </c>
      <c r="G4" s="38" t="s">
        <v>28</v>
      </c>
      <c r="H4" s="38" t="s">
        <v>28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>
      <c r="A5" s="3"/>
      <c r="B5" s="39" t="s">
        <v>72</v>
      </c>
      <c r="C5" s="38" t="s">
        <v>35</v>
      </c>
      <c r="D5" s="38" t="s">
        <v>34</v>
      </c>
      <c r="E5" s="38" t="s">
        <v>34</v>
      </c>
      <c r="F5" s="38" t="s">
        <v>34</v>
      </c>
      <c r="G5" s="38" t="s">
        <v>34</v>
      </c>
      <c r="H5" s="38" t="s">
        <v>34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>
      <c r="A6" s="3"/>
      <c r="B6" s="39" t="s">
        <v>73</v>
      </c>
      <c r="C6" s="38" t="s">
        <v>41</v>
      </c>
      <c r="D6" s="38" t="s">
        <v>40</v>
      </c>
      <c r="E6" s="38" t="s">
        <v>40</v>
      </c>
      <c r="F6" s="38" t="s">
        <v>40</v>
      </c>
      <c r="G6" s="38" t="s">
        <v>40</v>
      </c>
      <c r="H6" s="38" t="s">
        <v>40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>
      <c r="A7" s="3"/>
      <c r="B7" s="39" t="s">
        <v>74</v>
      </c>
      <c r="C7" s="38" t="s">
        <v>47</v>
      </c>
      <c r="D7" s="38" t="s">
        <v>46</v>
      </c>
      <c r="E7" s="38" t="s">
        <v>46</v>
      </c>
      <c r="F7" s="38" t="s">
        <v>46</v>
      </c>
      <c r="G7" s="38" t="s">
        <v>46</v>
      </c>
      <c r="H7" s="38" t="s">
        <v>46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>
      <c r="A8" s="3"/>
      <c r="B8" s="39" t="s">
        <v>75</v>
      </c>
      <c r="C8" s="38" t="s">
        <v>53</v>
      </c>
      <c r="D8" s="38" t="s">
        <v>52</v>
      </c>
      <c r="E8" s="38" t="s">
        <v>52</v>
      </c>
      <c r="F8" s="38" t="s">
        <v>52</v>
      </c>
      <c r="G8" s="38" t="s">
        <v>52</v>
      </c>
      <c r="H8" s="38" t="s">
        <v>52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>
      <c r="A9" s="3"/>
      <c r="B9" s="39" t="s">
        <v>76</v>
      </c>
      <c r="C9" s="38" t="s">
        <v>59</v>
      </c>
      <c r="D9" s="38" t="s">
        <v>58</v>
      </c>
      <c r="E9" s="38" t="s">
        <v>58</v>
      </c>
      <c r="F9" s="38" t="s">
        <v>58</v>
      </c>
      <c r="G9" s="38" t="s">
        <v>58</v>
      </c>
      <c r="H9" s="38" t="s">
        <v>58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>
      <c r="A10" s="3"/>
      <c r="B10" s="39" t="s">
        <v>77</v>
      </c>
      <c r="C10" s="38" t="s">
        <v>65</v>
      </c>
      <c r="D10" s="38" t="s">
        <v>64</v>
      </c>
      <c r="E10" s="38" t="s">
        <v>64</v>
      </c>
      <c r="F10" s="38" t="s">
        <v>64</v>
      </c>
      <c r="G10" s="38" t="s">
        <v>64</v>
      </c>
      <c r="H10" s="38" t="s">
        <v>64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>
      <c r="A11" s="3"/>
      <c r="B11" s="39" t="s">
        <v>78</v>
      </c>
      <c r="C11" s="38" t="s">
        <v>24</v>
      </c>
      <c r="D11" s="38" t="s">
        <v>24</v>
      </c>
      <c r="E11" s="38" t="s">
        <v>23</v>
      </c>
      <c r="F11" s="38" t="s">
        <v>23</v>
      </c>
      <c r="G11" s="38" t="s">
        <v>23</v>
      </c>
      <c r="H11" s="38" t="s">
        <v>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>
      <c r="A12" s="3"/>
      <c r="B12" s="39" t="s">
        <v>79</v>
      </c>
      <c r="C12" s="38" t="s">
        <v>30</v>
      </c>
      <c r="D12" s="38" t="s">
        <v>30</v>
      </c>
      <c r="E12" s="38" t="s">
        <v>29</v>
      </c>
      <c r="F12" s="38" t="s">
        <v>29</v>
      </c>
      <c r="G12" s="38" t="s">
        <v>29</v>
      </c>
      <c r="H12" s="38" t="s">
        <v>29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>
      <c r="A13" s="3"/>
      <c r="B13" s="39" t="s">
        <v>80</v>
      </c>
      <c r="C13" s="38" t="s">
        <v>36</v>
      </c>
      <c r="D13" s="38" t="s">
        <v>36</v>
      </c>
      <c r="E13" s="38" t="s">
        <v>35</v>
      </c>
      <c r="F13" s="38" t="s">
        <v>35</v>
      </c>
      <c r="G13" s="38" t="s">
        <v>35</v>
      </c>
      <c r="H13" s="38" t="s">
        <v>35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>
      <c r="A14" s="3"/>
      <c r="B14" s="39" t="s">
        <v>81</v>
      </c>
      <c r="C14" s="38" t="s">
        <v>42</v>
      </c>
      <c r="D14" s="38" t="s">
        <v>42</v>
      </c>
      <c r="E14" s="38" t="s">
        <v>41</v>
      </c>
      <c r="F14" s="38" t="s">
        <v>41</v>
      </c>
      <c r="G14" s="38" t="s">
        <v>41</v>
      </c>
      <c r="H14" s="38" t="s">
        <v>41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>
      <c r="A15" s="3"/>
      <c r="B15" s="39" t="s">
        <v>82</v>
      </c>
      <c r="C15" s="38" t="s">
        <v>48</v>
      </c>
      <c r="D15" s="38" t="s">
        <v>48</v>
      </c>
      <c r="E15" s="38" t="s">
        <v>47</v>
      </c>
      <c r="F15" s="38" t="s">
        <v>47</v>
      </c>
      <c r="G15" s="38" t="s">
        <v>47</v>
      </c>
      <c r="H15" s="38" t="s">
        <v>47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</row>
    <row r="16">
      <c r="A16" s="3"/>
      <c r="B16" s="39" t="s">
        <v>83</v>
      </c>
      <c r="C16" s="38" t="s">
        <v>54</v>
      </c>
      <c r="D16" s="38" t="s">
        <v>54</v>
      </c>
      <c r="E16" s="38" t="s">
        <v>53</v>
      </c>
      <c r="F16" s="38" t="s">
        <v>53</v>
      </c>
      <c r="G16" s="38" t="s">
        <v>53</v>
      </c>
      <c r="H16" s="38" t="s">
        <v>53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>
      <c r="A17" s="3"/>
      <c r="B17" s="39" t="s">
        <v>83</v>
      </c>
      <c r="C17" s="38" t="s">
        <v>60</v>
      </c>
      <c r="D17" s="38" t="s">
        <v>60</v>
      </c>
      <c r="E17" s="38" t="s">
        <v>59</v>
      </c>
      <c r="F17" s="38" t="s">
        <v>59</v>
      </c>
      <c r="G17" s="38" t="s">
        <v>59</v>
      </c>
      <c r="H17" s="38" t="s">
        <v>59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>
      <c r="A18" s="3"/>
      <c r="B18" s="39" t="s">
        <v>84</v>
      </c>
      <c r="C18" s="38" t="s">
        <v>66</v>
      </c>
      <c r="D18" s="38" t="s">
        <v>66</v>
      </c>
      <c r="E18" s="38" t="s">
        <v>65</v>
      </c>
      <c r="F18" s="38" t="s">
        <v>65</v>
      </c>
      <c r="G18" s="38" t="s">
        <v>65</v>
      </c>
      <c r="H18" s="38" t="s">
        <v>65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>
      <c r="A19" s="3"/>
      <c r="B19" s="39" t="s">
        <v>85</v>
      </c>
      <c r="C19" s="40" t="s">
        <v>25</v>
      </c>
      <c r="D19" s="40" t="s">
        <v>25</v>
      </c>
      <c r="E19" s="40" t="s">
        <v>25</v>
      </c>
      <c r="F19" s="38" t="s">
        <v>24</v>
      </c>
      <c r="G19" s="38" t="s">
        <v>24</v>
      </c>
      <c r="H19" s="38" t="s">
        <v>24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>
      <c r="A20" s="3"/>
      <c r="B20" s="39" t="s">
        <v>86</v>
      </c>
      <c r="C20" s="40" t="s">
        <v>31</v>
      </c>
      <c r="D20" s="40" t="s">
        <v>31</v>
      </c>
      <c r="E20" s="40" t="s">
        <v>31</v>
      </c>
      <c r="F20" s="38" t="s">
        <v>30</v>
      </c>
      <c r="G20" s="38" t="s">
        <v>30</v>
      </c>
      <c r="H20" s="38" t="s">
        <v>30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ht="15.75" customHeight="1">
      <c r="A21" s="3"/>
      <c r="B21" s="39" t="s">
        <v>87</v>
      </c>
      <c r="C21" s="40" t="s">
        <v>37</v>
      </c>
      <c r="D21" s="40" t="s">
        <v>37</v>
      </c>
      <c r="E21" s="40" t="s">
        <v>37</v>
      </c>
      <c r="F21" s="38" t="s">
        <v>36</v>
      </c>
      <c r="G21" s="38" t="s">
        <v>36</v>
      </c>
      <c r="H21" s="38" t="s">
        <v>36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ht="15.75" customHeight="1">
      <c r="A22" s="3"/>
      <c r="B22" s="39" t="s">
        <v>88</v>
      </c>
      <c r="C22" s="40" t="s">
        <v>43</v>
      </c>
      <c r="D22" s="40" t="s">
        <v>43</v>
      </c>
      <c r="E22" s="40" t="s">
        <v>43</v>
      </c>
      <c r="F22" s="38" t="s">
        <v>42</v>
      </c>
      <c r="G22" s="38" t="s">
        <v>42</v>
      </c>
      <c r="H22" s="38" t="s">
        <v>42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ht="15.75" customHeight="1">
      <c r="A23" s="3"/>
      <c r="B23" s="39" t="s">
        <v>89</v>
      </c>
      <c r="C23" s="40" t="s">
        <v>49</v>
      </c>
      <c r="D23" s="40" t="s">
        <v>49</v>
      </c>
      <c r="E23" s="40" t="s">
        <v>49</v>
      </c>
      <c r="F23" s="38" t="s">
        <v>48</v>
      </c>
      <c r="G23" s="38" t="s">
        <v>48</v>
      </c>
      <c r="H23" s="38" t="s">
        <v>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ht="15.75" customHeight="1">
      <c r="A24" s="3"/>
      <c r="B24" s="39" t="s">
        <v>89</v>
      </c>
      <c r="C24" s="40" t="s">
        <v>55</v>
      </c>
      <c r="D24" s="40" t="s">
        <v>55</v>
      </c>
      <c r="E24" s="40" t="s">
        <v>55</v>
      </c>
      <c r="F24" s="38" t="s">
        <v>54</v>
      </c>
      <c r="G24" s="38" t="s">
        <v>54</v>
      </c>
      <c r="H24" s="38" t="s">
        <v>54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ht="15.75" customHeight="1">
      <c r="A25" s="3"/>
      <c r="B25" s="39" t="s">
        <v>90</v>
      </c>
      <c r="C25" s="40" t="s">
        <v>61</v>
      </c>
      <c r="D25" s="40" t="s">
        <v>61</v>
      </c>
      <c r="E25" s="40" t="s">
        <v>61</v>
      </c>
      <c r="F25" s="38" t="s">
        <v>60</v>
      </c>
      <c r="G25" s="38" t="s">
        <v>60</v>
      </c>
      <c r="H25" s="38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</row>
    <row r="26" ht="15.75" customHeight="1">
      <c r="A26" s="3"/>
      <c r="B26" s="39" t="s">
        <v>91</v>
      </c>
      <c r="C26" s="40" t="s">
        <v>67</v>
      </c>
      <c r="D26" s="40" t="s">
        <v>67</v>
      </c>
      <c r="E26" s="40" t="s">
        <v>67</v>
      </c>
      <c r="F26" s="38" t="s">
        <v>66</v>
      </c>
      <c r="G26" s="38" t="s">
        <v>66</v>
      </c>
      <c r="H26" s="38" t="s">
        <v>66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ht="15.75" customHeight="1">
      <c r="A27" s="3"/>
      <c r="B27" s="39" t="s">
        <v>92</v>
      </c>
      <c r="C27" s="38" t="s">
        <v>26</v>
      </c>
      <c r="D27" s="38" t="s">
        <v>26</v>
      </c>
      <c r="E27" s="38" t="s">
        <v>26</v>
      </c>
      <c r="F27" s="38" t="s">
        <v>26</v>
      </c>
      <c r="G27" s="40" t="s">
        <v>25</v>
      </c>
      <c r="H27" s="40" t="s">
        <v>25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ht="15.75" customHeight="1">
      <c r="A28" s="3"/>
      <c r="B28" s="39" t="s">
        <v>93</v>
      </c>
      <c r="C28" s="38" t="s">
        <v>32</v>
      </c>
      <c r="D28" s="38" t="s">
        <v>32</v>
      </c>
      <c r="E28" s="38" t="s">
        <v>32</v>
      </c>
      <c r="F28" s="38" t="s">
        <v>32</v>
      </c>
      <c r="G28" s="40" t="s">
        <v>31</v>
      </c>
      <c r="H28" s="40" t="s">
        <v>31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ht="15.75" customHeight="1">
      <c r="A29" s="3"/>
      <c r="B29" s="39" t="s">
        <v>94</v>
      </c>
      <c r="C29" s="38" t="s">
        <v>38</v>
      </c>
      <c r="D29" s="38" t="s">
        <v>38</v>
      </c>
      <c r="E29" s="38" t="s">
        <v>38</v>
      </c>
      <c r="F29" s="38" t="s">
        <v>38</v>
      </c>
      <c r="G29" s="40" t="s">
        <v>37</v>
      </c>
      <c r="H29" s="40" t="s">
        <v>37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ht="15.75" customHeight="1">
      <c r="A30" s="3"/>
      <c r="B30" s="39" t="s">
        <v>95</v>
      </c>
      <c r="C30" s="38" t="s">
        <v>44</v>
      </c>
      <c r="D30" s="38" t="s">
        <v>44</v>
      </c>
      <c r="E30" s="38" t="s">
        <v>44</v>
      </c>
      <c r="F30" s="38" t="s">
        <v>44</v>
      </c>
      <c r="G30" s="40" t="s">
        <v>43</v>
      </c>
      <c r="H30" s="40" t="s">
        <v>43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ht="15.75" customHeight="1">
      <c r="A31" s="3"/>
      <c r="B31" s="39" t="s">
        <v>96</v>
      </c>
      <c r="C31" s="41" t="s">
        <v>50</v>
      </c>
      <c r="D31" s="41" t="s">
        <v>50</v>
      </c>
      <c r="E31" s="41" t="s">
        <v>50</v>
      </c>
      <c r="F31" s="41" t="s">
        <v>50</v>
      </c>
      <c r="G31" s="40" t="s">
        <v>49</v>
      </c>
      <c r="H31" s="40" t="s">
        <v>49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ht="15.75" customHeight="1">
      <c r="A32" s="3"/>
      <c r="B32" s="42"/>
      <c r="C32" s="41" t="s">
        <v>56</v>
      </c>
      <c r="D32" s="41" t="s">
        <v>56</v>
      </c>
      <c r="E32" s="41" t="s">
        <v>56</v>
      </c>
      <c r="F32" s="41" t="s">
        <v>56</v>
      </c>
      <c r="G32" s="40" t="s">
        <v>55</v>
      </c>
      <c r="H32" s="40" t="s">
        <v>55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ht="15.75" customHeight="1">
      <c r="A33" s="3"/>
      <c r="B33" s="42"/>
      <c r="C33" s="38" t="s">
        <v>62</v>
      </c>
      <c r="D33" s="38" t="s">
        <v>62</v>
      </c>
      <c r="E33" s="38" t="s">
        <v>62</v>
      </c>
      <c r="F33" s="38" t="s">
        <v>62</v>
      </c>
      <c r="G33" s="40" t="s">
        <v>61</v>
      </c>
      <c r="H33" s="40" t="s">
        <v>61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ht="15.75" customHeight="1">
      <c r="A34" s="3"/>
      <c r="B34" s="42"/>
      <c r="C34" s="38" t="s">
        <v>68</v>
      </c>
      <c r="D34" s="38" t="s">
        <v>68</v>
      </c>
      <c r="E34" s="38" t="s">
        <v>68</v>
      </c>
      <c r="F34" s="38" t="s">
        <v>68</v>
      </c>
      <c r="G34" s="40" t="s">
        <v>67</v>
      </c>
      <c r="H34" s="40" t="s">
        <v>67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ht="15.75" customHeight="1">
      <c r="A35" s="3"/>
      <c r="B35" s="42"/>
      <c r="C35" s="38" t="s">
        <v>27</v>
      </c>
      <c r="D35" s="38" t="s">
        <v>27</v>
      </c>
      <c r="E35" s="38" t="s">
        <v>27</v>
      </c>
      <c r="F35" s="38" t="s">
        <v>27</v>
      </c>
      <c r="G35" s="38" t="s">
        <v>27</v>
      </c>
      <c r="H35" s="38" t="s">
        <v>26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ht="15.75" customHeight="1">
      <c r="A36" s="3"/>
      <c r="B36" s="42"/>
      <c r="C36" s="38" t="s">
        <v>33</v>
      </c>
      <c r="D36" s="38" t="s">
        <v>33</v>
      </c>
      <c r="E36" s="38" t="s">
        <v>33</v>
      </c>
      <c r="F36" s="38" t="s">
        <v>33</v>
      </c>
      <c r="G36" s="38" t="s">
        <v>33</v>
      </c>
      <c r="H36" s="38" t="s">
        <v>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ht="15.75" customHeight="1">
      <c r="A37" s="3"/>
      <c r="B37" s="39"/>
      <c r="C37" s="38" t="s">
        <v>39</v>
      </c>
      <c r="D37" s="38" t="s">
        <v>39</v>
      </c>
      <c r="E37" s="38" t="s">
        <v>39</v>
      </c>
      <c r="F37" s="38" t="s">
        <v>39</v>
      </c>
      <c r="G37" s="38" t="s">
        <v>39</v>
      </c>
      <c r="H37" s="38" t="s">
        <v>38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ht="15.75" customHeight="1">
      <c r="A38" s="3"/>
      <c r="B38" s="42"/>
      <c r="C38" s="38" t="s">
        <v>45</v>
      </c>
      <c r="D38" s="38" t="s">
        <v>45</v>
      </c>
      <c r="E38" s="38" t="s">
        <v>45</v>
      </c>
      <c r="F38" s="38" t="s">
        <v>45</v>
      </c>
      <c r="G38" s="38" t="s">
        <v>45</v>
      </c>
      <c r="H38" s="38" t="s">
        <v>44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ht="15.75" customHeight="1">
      <c r="A39" s="3"/>
      <c r="B39" s="42"/>
      <c r="C39" s="41" t="s">
        <v>51</v>
      </c>
      <c r="D39" s="41" t="s">
        <v>51</v>
      </c>
      <c r="E39" s="41" t="s">
        <v>51</v>
      </c>
      <c r="F39" s="41" t="s">
        <v>51</v>
      </c>
      <c r="G39" s="41" t="s">
        <v>51</v>
      </c>
      <c r="H39" s="41" t="s">
        <v>50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ht="15.75" customHeight="1">
      <c r="A40" s="3"/>
      <c r="B40" s="42"/>
      <c r="C40" s="41" t="s">
        <v>57</v>
      </c>
      <c r="D40" s="41" t="s">
        <v>57</v>
      </c>
      <c r="E40" s="41" t="s">
        <v>57</v>
      </c>
      <c r="F40" s="41" t="s">
        <v>57</v>
      </c>
      <c r="G40" s="41" t="s">
        <v>57</v>
      </c>
      <c r="H40" s="41" t="s">
        <v>56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ht="15.75" customHeight="1">
      <c r="A41" s="3"/>
      <c r="B41" s="42"/>
      <c r="C41" s="38" t="s">
        <v>63</v>
      </c>
      <c r="D41" s="38" t="s">
        <v>63</v>
      </c>
      <c r="E41" s="38" t="s">
        <v>63</v>
      </c>
      <c r="F41" s="38" t="s">
        <v>63</v>
      </c>
      <c r="G41" s="38" t="s">
        <v>63</v>
      </c>
      <c r="H41" s="38" t="s">
        <v>62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ht="15.75" customHeight="1">
      <c r="A42" s="3"/>
      <c r="B42" s="42"/>
      <c r="C42" s="38" t="s">
        <v>69</v>
      </c>
      <c r="D42" s="38" t="s">
        <v>69</v>
      </c>
      <c r="E42" s="38" t="s">
        <v>69</v>
      </c>
      <c r="F42" s="38" t="s">
        <v>69</v>
      </c>
      <c r="G42" s="38" t="s">
        <v>69</v>
      </c>
      <c r="H42" s="38" t="s">
        <v>68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.57"/>
    <col customWidth="1" min="3" max="3" width="79.71"/>
    <col customWidth="1" min="4" max="4" width="3.71"/>
    <col customWidth="1" min="5" max="5" width="85.0"/>
    <col customWidth="1" min="6" max="6" width="3.71"/>
    <col customWidth="1" min="7" max="7" width="81.0"/>
    <col customWidth="1" min="8" max="8" width="5.14"/>
    <col customWidth="1" min="9" max="9" width="83.86"/>
    <col customWidth="1" min="10" max="10" width="4.86"/>
    <col customWidth="1" min="11" max="11" width="77.29"/>
    <col customWidth="1" min="12" max="12" width="5.71"/>
    <col customWidth="1" min="13" max="13" width="81.71"/>
    <col customWidth="1" min="14" max="14" width="2.43"/>
    <col customWidth="1" min="15" max="15" width="6.71"/>
    <col customWidth="1" min="16" max="16" width="2.43"/>
    <col customWidth="1" min="17" max="17" width="6.71"/>
    <col customWidth="1" min="18" max="18" width="2.43"/>
    <col customWidth="1" min="19" max="19" width="6.71"/>
    <col customWidth="1" min="20" max="20" width="2.43"/>
    <col customWidth="1" min="21" max="21" width="6.71"/>
    <col customWidth="1" min="22" max="22" width="2.43"/>
    <col customWidth="1" min="23" max="23" width="6.71"/>
    <col customWidth="1" min="24" max="24" width="2.43"/>
    <col customWidth="1" min="25" max="25" width="6.71"/>
    <col customWidth="1" min="26" max="26" width="2.43"/>
    <col customWidth="1" min="27" max="27" width="6.71"/>
    <col customWidth="1" min="28" max="28" width="2.43"/>
    <col customWidth="1" min="29" max="29" width="6.71"/>
    <col customWidth="1" min="30" max="30" width="2.43"/>
    <col customWidth="1" min="31" max="31" width="6.71"/>
    <col customWidth="1" min="32" max="32" width="2.43"/>
    <col customWidth="1" min="33" max="33" width="6.71"/>
    <col customWidth="1" min="34" max="34" width="2.43"/>
    <col customWidth="1" min="35" max="35" width="6.71"/>
    <col customWidth="1" min="36" max="36" width="2.43"/>
    <col customWidth="1" min="37" max="37" width="6.71"/>
    <col customWidth="1" min="38" max="38" width="2.43"/>
    <col customWidth="1" min="39" max="39" width="6.71"/>
    <col customWidth="1" min="40" max="40" width="2.43"/>
    <col customWidth="1" min="41" max="41" width="6.71"/>
    <col customWidth="1" min="42" max="42" width="2.43"/>
    <col customWidth="1" min="43" max="43" width="6.71"/>
    <col customWidth="1" min="44" max="44" width="2.43"/>
    <col customWidth="1" min="45" max="45" width="6.71"/>
    <col customWidth="1" min="46" max="46" width="2.43"/>
    <col customWidth="1" min="47" max="47" width="6.71"/>
    <col customWidth="1" min="48" max="48" width="2.43"/>
    <col customWidth="1" min="49" max="49" width="6.71"/>
    <col customWidth="1" min="50" max="50" width="2.43"/>
    <col customWidth="1" min="51" max="51" width="6.71"/>
    <col customWidth="1" min="52" max="52" width="2.43"/>
    <col customWidth="1" min="53" max="53" width="6.71"/>
    <col customWidth="1" min="54" max="54" width="2.43"/>
    <col customWidth="1" min="55" max="55" width="6.71"/>
    <col customWidth="1" min="56" max="56" width="2.43"/>
    <col customWidth="1" min="57" max="57" width="6.71"/>
    <col customWidth="1" min="58" max="58" width="2.43"/>
    <col customWidth="1" min="59" max="59" width="6.71"/>
    <col customWidth="1" min="60" max="60" width="2.43"/>
    <col customWidth="1" min="61" max="61" width="6.71"/>
    <col customWidth="1" min="62" max="62" width="2.43"/>
    <col customWidth="1" min="63" max="63" width="6.71"/>
    <col customWidth="1" min="64" max="64" width="2.43"/>
    <col customWidth="1" min="65" max="65" width="6.71"/>
    <col customWidth="1" min="66" max="66" width="2.43"/>
    <col customWidth="1" min="67" max="67" width="6.71"/>
    <col customWidth="1" min="68" max="68" width="2.43"/>
    <col customWidth="1" min="69" max="69" width="6.71"/>
    <col customWidth="1" min="70" max="70" width="2.43"/>
    <col customWidth="1" min="71" max="71" width="6.71"/>
    <col customWidth="1" min="72" max="72" width="2.43"/>
    <col customWidth="1" min="73" max="73" width="6.71"/>
    <col customWidth="1" min="74" max="74" width="2.43"/>
    <col customWidth="1" min="75" max="75" width="6.71"/>
    <col customWidth="1" min="76" max="76" width="2.43"/>
    <col customWidth="1" min="77" max="77" width="6.71"/>
    <col customWidth="1" min="78" max="78" width="2.43"/>
    <col customWidth="1" min="79" max="79" width="6.71"/>
    <col customWidth="1" min="80" max="80" width="2.43"/>
    <col customWidth="1" min="81" max="81" width="6.71"/>
    <col customWidth="1" min="82" max="82" width="2.43"/>
    <col customWidth="1" min="83" max="83" width="6.71"/>
    <col customWidth="1" min="84" max="84" width="2.43"/>
    <col customWidth="1" min="85" max="85" width="6.71"/>
    <col customWidth="1" min="86" max="86" width="2.43"/>
    <col customWidth="1" min="87" max="87" width="6.71"/>
    <col customWidth="1" min="88" max="88" width="2.43"/>
    <col customWidth="1" min="89" max="89" width="6.71"/>
    <col customWidth="1" min="90" max="90" width="2.43"/>
    <col customWidth="1" min="91" max="91" width="6.71"/>
    <col customWidth="1" min="92" max="92" width="2.43"/>
    <col customWidth="1" min="93" max="93" width="6.71"/>
    <col customWidth="1" min="94" max="94" width="2.43"/>
    <col customWidth="1" min="95" max="95" width="6.71"/>
    <col customWidth="1" min="96" max="96" width="2.43"/>
    <col customWidth="1" min="97" max="97" width="6.71"/>
    <col customWidth="1" min="98" max="98" width="2.43"/>
    <col customWidth="1" min="99" max="99" width="6.71"/>
    <col customWidth="1" min="100" max="100" width="2.43"/>
    <col customWidth="1" min="101" max="101" width="6.71"/>
    <col customWidth="1" min="102" max="102" width="2.43"/>
    <col customWidth="1" min="103" max="103" width="6.71"/>
    <col customWidth="1" min="104" max="104" width="2.43"/>
    <col customWidth="1" min="105" max="105" width="6.71"/>
    <col customWidth="1" min="106" max="106" width="2.43"/>
    <col customWidth="1" min="107" max="107" width="6.71"/>
    <col customWidth="1" min="108" max="108" width="2.43"/>
    <col customWidth="1" min="109" max="109" width="6.71"/>
    <col customWidth="1" min="110" max="110" width="2.43"/>
    <col customWidth="1" min="111" max="111" width="6.71"/>
    <col customWidth="1" min="112" max="112" width="2.43"/>
    <col customWidth="1" min="113" max="113" width="6.71"/>
    <col customWidth="1" min="114" max="114" width="2.43"/>
    <col customWidth="1" min="115" max="115" width="6.71"/>
    <col customWidth="1" min="116" max="116" width="2.43"/>
    <col customWidth="1" min="117" max="117" width="6.71"/>
    <col customWidth="1" min="118" max="118" width="2.43"/>
    <col customWidth="1" min="119" max="119" width="6.71"/>
    <col customWidth="1" min="120" max="120" width="2.43"/>
  </cols>
  <sheetData>
    <row r="1" ht="15.75" customHeight="1">
      <c r="A1" s="4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</row>
    <row r="2" ht="15.75" customHeight="1">
      <c r="A2" s="44"/>
      <c r="B2" s="45"/>
      <c r="C2" s="46" t="str">
        <f>'Ad Groups'!C3</f>
        <v>Emergency Plumbing</v>
      </c>
      <c r="D2" s="45"/>
      <c r="E2" s="46" t="str">
        <f>IF('Ad Groups'!C4=0," ",'Ad Groups'!C4)</f>
        <v>Residential Plumbing</v>
      </c>
      <c r="F2" s="45"/>
      <c r="G2" s="46" t="str">
        <f>IF('Ad Groups'!C5=0," ",'Ad Groups'!C5)</f>
        <v>Commercial Plumbing</v>
      </c>
      <c r="H2" s="45"/>
      <c r="I2" s="46" t="str">
        <f>IF('Ad Groups'!C6=0," ",'Ad Groups'!C6)</f>
        <v>Leak Detection</v>
      </c>
      <c r="J2" s="45"/>
      <c r="K2" s="46" t="str">
        <f>IF('Ad Groups'!C7=0," ",'Ad Groups'!C7)</f>
        <v>Drain Cleaning</v>
      </c>
      <c r="L2" s="45"/>
      <c r="M2" s="46" t="str">
        <f>IF('Ad Groups'!C8=0," ",'Ad Groups'!C8)</f>
        <v>Geyser Replacement &amp; Repairs</v>
      </c>
      <c r="N2" s="3"/>
      <c r="O2" s="36" t="str">
        <f>IF('Ad Groups'!C9=0," ",'Ad Groups'!C9)</f>
        <v> </v>
      </c>
      <c r="P2" s="3"/>
      <c r="Q2" s="36" t="str">
        <f>IF('Ad Groups'!C10=0," ",'Ad Groups'!C10)</f>
        <v> </v>
      </c>
      <c r="R2" s="3"/>
      <c r="S2" s="36" t="str">
        <f>IF('Campaign Settings'!B1=0," ",'Campaign Settings'!B1)</f>
        <v> </v>
      </c>
      <c r="T2" s="3"/>
      <c r="U2" s="36" t="str">
        <f>IF('Campaign Settings'!B2=0," ",'Campaign Settings'!B2)</f>
        <v> </v>
      </c>
      <c r="V2" s="3"/>
      <c r="W2" s="36" t="str">
        <f>IF('Campaign Settings'!B3=0," ",'Campaign Settings'!B3)</f>
        <v>Sandton, Gauteng, South Africa</v>
      </c>
      <c r="X2" s="3"/>
      <c r="Y2" s="36" t="str">
        <f>IF('Campaign Settings'!B4=0," ",'Campaign Settings'!B4)</f>
        <v>N/a</v>
      </c>
      <c r="Z2" s="3"/>
      <c r="AA2" s="36" t="str">
        <f>IF('Campaign Settings'!B5=0," ",'Campaign Settings'!B5)</f>
        <v> </v>
      </c>
      <c r="AB2" s="3"/>
      <c r="AC2" s="36" t="str">
        <f>IF('Campaign Settings'!B6=0," ",'Campaign Settings'!B6)</f>
        <v> </v>
      </c>
      <c r="AD2" s="3"/>
      <c r="AE2" s="36" t="str">
        <f>IF('Campaign Settings'!B7=0," ",'Campaign Settings'!B7)</f>
        <v> </v>
      </c>
      <c r="AF2" s="3"/>
      <c r="AG2" s="36" t="str">
        <f>IF('Campaign Settings'!B8=0," ",'Campaign Settings'!B8)</f>
        <v> </v>
      </c>
      <c r="AH2" s="3"/>
      <c r="AI2" s="36" t="str">
        <f>IF('Campaign Settings'!B9=0," ",'Campaign Settings'!B9)</f>
        <v> </v>
      </c>
      <c r="AJ2" s="3"/>
      <c r="AK2" s="36" t="str">
        <f>IF('Campaign Settings'!B10=0," ",'Campaign Settings'!B10)</f>
        <v> See Keywords</v>
      </c>
      <c r="AL2" s="3"/>
      <c r="AM2" s="36" t="str">
        <f>IF('Ad Groups'!C21=0," ",'Ad Groups'!C21)</f>
        <v> </v>
      </c>
      <c r="AN2" s="3"/>
      <c r="AO2" s="36" t="str">
        <f>IF('Ad Groups'!C22=0," ",'Ad Groups'!C22)</f>
        <v> </v>
      </c>
      <c r="AP2" s="3"/>
      <c r="AQ2" s="36" t="str">
        <f>IF('Ad Groups'!C23=0," ",'Ad Groups'!C23)</f>
        <v> </v>
      </c>
      <c r="AR2" s="3"/>
      <c r="AS2" s="36" t="str">
        <f>IF('Ad Groups'!C24=0," ",'Ad Groups'!C24)</f>
        <v> </v>
      </c>
      <c r="AT2" s="3"/>
      <c r="AU2" s="36" t="str">
        <f>IF('Ad Groups'!C25=0," ",'Ad Groups'!C25)</f>
        <v> </v>
      </c>
      <c r="AV2" s="3"/>
      <c r="AW2" s="36" t="str">
        <f>IF('Ad Groups'!C26=0," ",'Ad Groups'!C26)</f>
        <v> </v>
      </c>
      <c r="AX2" s="3"/>
      <c r="AY2" s="36" t="str">
        <f>IF('Ad Groups'!C27=0," ",'Ad Groups'!C27)</f>
        <v> </v>
      </c>
      <c r="AZ2" s="3"/>
      <c r="BA2" s="36" t="str">
        <f>IF('Ad Groups'!C28=0," ",'Ad Groups'!C28)</f>
        <v> </v>
      </c>
      <c r="BB2" s="3"/>
      <c r="BC2" s="36" t="str">
        <f>IF('Ad Groups'!C29=0," ",'Ad Groups'!C29)</f>
        <v> </v>
      </c>
      <c r="BD2" s="3"/>
      <c r="BE2" s="36" t="str">
        <f>IF('Ad Groups'!C30=0," ",'Ad Groups'!C30)</f>
        <v> </v>
      </c>
      <c r="BF2" s="3"/>
      <c r="BG2" s="36" t="str">
        <f>IF('Ad Groups'!C31=0," ",'Ad Groups'!C31)</f>
        <v> </v>
      </c>
      <c r="BH2" s="3"/>
      <c r="BI2" s="36" t="str">
        <f>IF('Ad Groups'!C32=0," ",'Ad Groups'!C32)</f>
        <v> </v>
      </c>
      <c r="BJ2" s="3"/>
      <c r="BK2" s="36" t="str">
        <f>IF('Ad Groups'!C33=0," ",'Ad Groups'!C33)</f>
        <v> </v>
      </c>
      <c r="BL2" s="3"/>
      <c r="BM2" s="36" t="str">
        <f>IF('Ad Groups'!C34=0," ",'Ad Groups'!C34)</f>
        <v> </v>
      </c>
      <c r="BN2" s="3"/>
      <c r="BO2" s="36" t="str">
        <f>IF('Ad Groups'!C35=0," ",'Ad Groups'!C35)</f>
        <v> </v>
      </c>
      <c r="BP2" s="3"/>
      <c r="BQ2" s="36" t="str">
        <f>IF('Ad Groups'!C36=0," ",'Ad Groups'!C36)</f>
        <v> </v>
      </c>
      <c r="BR2" s="3"/>
      <c r="BS2" s="36" t="str">
        <f>IF('Ad Groups'!C37=0," ",'Ad Groups'!C37)</f>
        <v> </v>
      </c>
      <c r="BT2" s="3"/>
      <c r="BU2" s="36" t="str">
        <f>IF('Ad Groups'!C38=0," ",'Ad Groups'!C38)</f>
        <v> </v>
      </c>
      <c r="BV2" s="3"/>
      <c r="BW2" s="36" t="str">
        <f>IF('Ad Groups'!C39=0," ",'Ad Groups'!C39)</f>
        <v> </v>
      </c>
      <c r="BX2" s="3"/>
      <c r="BY2" s="36" t="str">
        <f>IF('Ad Groups'!C40=0," ",'Ad Groups'!C40)</f>
        <v> </v>
      </c>
      <c r="BZ2" s="3"/>
      <c r="CA2" s="36" t="str">
        <f>IF('Ad Groups'!C41=0," ",'Ad Groups'!C41)</f>
        <v> </v>
      </c>
      <c r="CB2" s="3"/>
      <c r="CC2" s="36" t="str">
        <f>IF('Ad Groups'!C42=0," ",'Ad Groups'!C42)</f>
        <v> </v>
      </c>
      <c r="CD2" s="3"/>
      <c r="CE2" s="36" t="str">
        <f>IF('Ad Groups'!C43=0," ",'Ad Groups'!C43)</f>
        <v> </v>
      </c>
      <c r="CF2" s="3"/>
      <c r="CG2" s="36" t="str">
        <f>IF('Ad Groups'!C44=0," ",'Ad Groups'!C44)</f>
        <v> </v>
      </c>
      <c r="CH2" s="3"/>
      <c r="CI2" s="36" t="str">
        <f>IF('Ad Groups'!C45=0," ",'Ad Groups'!C45)</f>
        <v> </v>
      </c>
      <c r="CJ2" s="3"/>
      <c r="CK2" s="36" t="str">
        <f>IF('Ad Groups'!C46=0," ",'Ad Groups'!C46)</f>
        <v> </v>
      </c>
      <c r="CL2" s="3"/>
      <c r="CM2" s="36" t="str">
        <f>IF('Ad Groups'!C47=0," ",'Ad Groups'!C47)</f>
        <v> </v>
      </c>
      <c r="CN2" s="3"/>
      <c r="CO2" s="36" t="str">
        <f>IF('Ad Groups'!C48=0," ",'Ad Groups'!C48)</f>
        <v> </v>
      </c>
      <c r="CP2" s="3"/>
      <c r="CQ2" s="36" t="str">
        <f>IF('Ad Groups'!C49=0," ",'Ad Groups'!C49)</f>
        <v> </v>
      </c>
      <c r="CR2" s="3"/>
      <c r="CS2" s="36" t="str">
        <f>IF('Ad Groups'!C50=0," ",'Ad Groups'!C50)</f>
        <v> </v>
      </c>
      <c r="CT2" s="3"/>
      <c r="CU2" s="36" t="str">
        <f>IF('Ad Groups'!C51=0," ",'Ad Groups'!C51)</f>
        <v> </v>
      </c>
      <c r="CV2" s="3"/>
      <c r="CW2" s="36" t="str">
        <f>IF('Ad Groups'!C52=0," ",'Ad Groups'!C52)</f>
        <v> </v>
      </c>
      <c r="CX2" s="3"/>
      <c r="CY2" s="36" t="str">
        <f>IF('Ad Groups'!C53=0," ",'Ad Groups'!C53)</f>
        <v> </v>
      </c>
      <c r="CZ2" s="3"/>
      <c r="DA2" s="36" t="str">
        <f>IF('Ad Groups'!C54=0," ",'Ad Groups'!C54)</f>
        <v> </v>
      </c>
      <c r="DB2" s="3"/>
      <c r="DC2" s="36" t="str">
        <f>IF('Ad Groups'!C55=0," ",'Ad Groups'!C55)</f>
        <v> </v>
      </c>
      <c r="DD2" s="3"/>
      <c r="DE2" s="36" t="str">
        <f>IF('Ad Groups'!C56=0," ",'Ad Groups'!C56)</f>
        <v> </v>
      </c>
      <c r="DF2" s="3"/>
      <c r="DG2" s="36" t="str">
        <f>IF('Ad Groups'!C57=0," ",'Ad Groups'!C57)</f>
        <v> </v>
      </c>
      <c r="DH2" s="3"/>
      <c r="DI2" s="36" t="str">
        <f>IF('Ad Groups'!C58=0," ",'Ad Groups'!C58)</f>
        <v> </v>
      </c>
      <c r="DJ2" s="3"/>
      <c r="DK2" s="36" t="str">
        <f>IF('Ad Groups'!C59=0," ",'Ad Groups'!C59)</f>
        <v> </v>
      </c>
      <c r="DL2" s="3"/>
      <c r="DM2" s="36" t="str">
        <f>IF('Ad Groups'!C60=0," ",'Ad Groups'!C60)</f>
        <v> </v>
      </c>
      <c r="DN2" s="3"/>
      <c r="DO2" s="3"/>
      <c r="DP2" s="3"/>
    </row>
    <row r="3" ht="15.75" customHeight="1">
      <c r="A3" s="47" t="s">
        <v>97</v>
      </c>
      <c r="B3" s="48">
        <f t="shared" ref="B3:B19" si="1">IF(LEN(C3)=0,"",LEN(C3))</f>
        <v>25</v>
      </c>
      <c r="C3" s="3" t="s">
        <v>98</v>
      </c>
      <c r="D3" s="48">
        <f t="shared" ref="D3:D16" si="2">IF(LEN(E3)=0,"",LEN(E3))</f>
        <v>26</v>
      </c>
      <c r="E3" s="3" t="s">
        <v>99</v>
      </c>
      <c r="F3" s="48">
        <f t="shared" ref="F3:F16" si="3">IF(LEN(G3)=0,"",LEN(G3))</f>
        <v>19</v>
      </c>
      <c r="G3" s="3" t="s">
        <v>100</v>
      </c>
      <c r="H3" s="48">
        <f t="shared" ref="H3:H16" si="4">IF(LEN(I3)=0,"",LEN(I3))</f>
        <v>20</v>
      </c>
      <c r="I3" s="3" t="s">
        <v>101</v>
      </c>
      <c r="J3" s="48">
        <f t="shared" ref="J3:J16" si="5">IF(LEN(K3)=0,"",LEN(K3))</f>
        <v>21</v>
      </c>
      <c r="K3" s="3" t="s">
        <v>102</v>
      </c>
      <c r="L3" s="48">
        <f t="shared" ref="L3:L16" si="6">IF(LEN(M3)=0,"",LEN(M3))</f>
        <v>27</v>
      </c>
      <c r="M3" s="3" t="s">
        <v>103</v>
      </c>
      <c r="N3" s="48" t="str">
        <f t="shared" ref="N3:N18" si="7">IF(LEN(O3)=0,"",LEN(O3))</f>
        <v/>
      </c>
      <c r="O3" s="3"/>
      <c r="P3" s="48" t="str">
        <f t="shared" ref="P3:P18" si="8">IF(LEN(Q3)=0,"",LEN(Q3))</f>
        <v/>
      </c>
      <c r="Q3" s="3"/>
      <c r="R3" s="48" t="str">
        <f t="shared" ref="R3:R18" si="9">IF(LEN(S3)=0,"",LEN(S3))</f>
        <v/>
      </c>
      <c r="S3" s="3"/>
      <c r="T3" s="48" t="str">
        <f t="shared" ref="T3:T18" si="10">IF(LEN(U3)=0,"",LEN(U3))</f>
        <v/>
      </c>
      <c r="U3" s="3"/>
      <c r="V3" s="48" t="str">
        <f t="shared" ref="V3:V18" si="11">IF(LEN(W3)=0,"",LEN(W3))</f>
        <v/>
      </c>
      <c r="W3" s="3"/>
      <c r="X3" s="48" t="str">
        <f t="shared" ref="X3:X18" si="12">IF(LEN(Y3)=0,"",LEN(Y3))</f>
        <v/>
      </c>
      <c r="Y3" s="3"/>
      <c r="Z3" s="48" t="str">
        <f t="shared" ref="Z3:Z18" si="13">IF(LEN(AA3)=0,"",LEN(AA3))</f>
        <v/>
      </c>
      <c r="AA3" s="3"/>
      <c r="AB3" s="48" t="str">
        <f t="shared" ref="AB3:AB18" si="14">IF(LEN(AC3)=0,"",LEN(AC3))</f>
        <v/>
      </c>
      <c r="AC3" s="3"/>
      <c r="AD3" s="48" t="str">
        <f t="shared" ref="AD3:AD18" si="15">IF(LEN(AE3)=0,"",LEN(AE3))</f>
        <v/>
      </c>
      <c r="AE3" s="3"/>
      <c r="AF3" s="48" t="str">
        <f t="shared" ref="AF3:AF18" si="16">IF(LEN(AG3)=0,"",LEN(AG3))</f>
        <v/>
      </c>
      <c r="AG3" s="3"/>
      <c r="AH3" s="48" t="str">
        <f t="shared" ref="AH3:AH18" si="17">IF(LEN(AI3)=0,"",LEN(AI3))</f>
        <v/>
      </c>
      <c r="AI3" s="3"/>
      <c r="AJ3" s="48" t="str">
        <f t="shared" ref="AJ3:AJ18" si="18">IF(LEN(AK3)=0,"",LEN(AK3))</f>
        <v/>
      </c>
      <c r="AK3" s="3"/>
      <c r="AL3" s="48" t="str">
        <f t="shared" ref="AL3:AL18" si="19">IF(LEN(AM3)=0,"",LEN(AM3))</f>
        <v/>
      </c>
      <c r="AM3" s="3"/>
      <c r="AN3" s="48" t="str">
        <f t="shared" ref="AN3:AN18" si="20">IF(LEN(AO3)=0,"",LEN(AO3))</f>
        <v/>
      </c>
      <c r="AO3" s="3"/>
      <c r="AP3" s="48" t="str">
        <f t="shared" ref="AP3:AP18" si="21">IF(LEN(AQ3)=0,"",LEN(AQ3))</f>
        <v/>
      </c>
      <c r="AQ3" s="3"/>
      <c r="AR3" s="48" t="str">
        <f t="shared" ref="AR3:AR18" si="22">IF(LEN(AS3)=0,"",LEN(AS3))</f>
        <v/>
      </c>
      <c r="AS3" s="3"/>
      <c r="AT3" s="48" t="str">
        <f t="shared" ref="AT3:AT18" si="23">IF(LEN(AU3)=0,"",LEN(AU3))</f>
        <v/>
      </c>
      <c r="AU3" s="3"/>
      <c r="AV3" s="48" t="str">
        <f t="shared" ref="AV3:AV18" si="24">IF(LEN(AW3)=0,"",LEN(AW3))</f>
        <v/>
      </c>
      <c r="AW3" s="3"/>
      <c r="AX3" s="48" t="str">
        <f t="shared" ref="AX3:AX18" si="25">IF(LEN(AY3)=0,"",LEN(AY3))</f>
        <v/>
      </c>
      <c r="AY3" s="3"/>
      <c r="AZ3" s="48" t="str">
        <f t="shared" ref="AZ3:AZ18" si="26">IF(LEN(BA3)=0,"",LEN(BA3))</f>
        <v/>
      </c>
      <c r="BA3" s="3"/>
      <c r="BB3" s="48" t="str">
        <f t="shared" ref="BB3:BB18" si="27">IF(LEN(BC3)=0,"",LEN(BC3))</f>
        <v/>
      </c>
      <c r="BC3" s="3"/>
      <c r="BD3" s="48" t="str">
        <f t="shared" ref="BD3:BD18" si="28">IF(LEN(BE3)=0,"",LEN(BE3))</f>
        <v/>
      </c>
      <c r="BE3" s="3"/>
      <c r="BF3" s="48" t="str">
        <f t="shared" ref="BF3:BF18" si="29">IF(LEN(BG3)=0,"",LEN(BG3))</f>
        <v/>
      </c>
      <c r="BG3" s="3"/>
      <c r="BH3" s="48" t="str">
        <f t="shared" ref="BH3:BH18" si="30">IF(LEN(BI3)=0,"",LEN(BI3))</f>
        <v/>
      </c>
      <c r="BI3" s="3"/>
      <c r="BJ3" s="48" t="str">
        <f t="shared" ref="BJ3:BJ18" si="31">IF(LEN(BK3)=0,"",LEN(BK3))</f>
        <v/>
      </c>
      <c r="BK3" s="3"/>
      <c r="BL3" s="48" t="str">
        <f t="shared" ref="BL3:BL18" si="32">IF(LEN(BM3)=0,"",LEN(BM3))</f>
        <v/>
      </c>
      <c r="BM3" s="3"/>
      <c r="BN3" s="48" t="str">
        <f t="shared" ref="BN3:BN18" si="33">IF(LEN(BO3)=0,"",LEN(BO3))</f>
        <v/>
      </c>
      <c r="BO3" s="3"/>
      <c r="BP3" s="48" t="str">
        <f t="shared" ref="BP3:BP18" si="34">IF(LEN(BQ3)=0,"",LEN(BQ3))</f>
        <v/>
      </c>
      <c r="BQ3" s="3"/>
      <c r="BR3" s="48" t="str">
        <f t="shared" ref="BR3:BR18" si="35">IF(LEN(BS3)=0,"",LEN(BS3))</f>
        <v/>
      </c>
      <c r="BS3" s="3"/>
      <c r="BT3" s="48" t="str">
        <f t="shared" ref="BT3:BT18" si="36">IF(LEN(BU3)=0,"",LEN(BU3))</f>
        <v/>
      </c>
      <c r="BU3" s="3"/>
      <c r="BV3" s="48" t="str">
        <f t="shared" ref="BV3:BV18" si="37">IF(LEN(BW3)=0,"",LEN(BW3))</f>
        <v/>
      </c>
      <c r="BW3" s="3"/>
      <c r="BX3" s="48" t="str">
        <f t="shared" ref="BX3:BX18" si="38">IF(LEN(BY3)=0,"",LEN(BY3))</f>
        <v/>
      </c>
      <c r="BY3" s="3"/>
      <c r="BZ3" s="48" t="str">
        <f t="shared" ref="BZ3:BZ18" si="39">IF(LEN(CA3)=0,"",LEN(CA3))</f>
        <v/>
      </c>
      <c r="CA3" s="3"/>
      <c r="CB3" s="48" t="str">
        <f t="shared" ref="CB3:CB18" si="40">IF(LEN(CC3)=0,"",LEN(CC3))</f>
        <v/>
      </c>
      <c r="CC3" s="3"/>
      <c r="CD3" s="48" t="str">
        <f t="shared" ref="CD3:CD18" si="41">IF(LEN(CE3)=0,"",LEN(CE3))</f>
        <v/>
      </c>
      <c r="CE3" s="3"/>
      <c r="CF3" s="48" t="str">
        <f t="shared" ref="CF3:CF18" si="42">IF(LEN(CG3)=0,"",LEN(CG3))</f>
        <v/>
      </c>
      <c r="CG3" s="3"/>
      <c r="CH3" s="48" t="str">
        <f t="shared" ref="CH3:CH18" si="43">IF(LEN(CI3)=0,"",LEN(CI3))</f>
        <v/>
      </c>
      <c r="CI3" s="3"/>
      <c r="CJ3" s="48" t="str">
        <f t="shared" ref="CJ3:CJ18" si="44">IF(LEN(CK3)=0,"",LEN(CK3))</f>
        <v/>
      </c>
      <c r="CK3" s="3"/>
      <c r="CL3" s="48" t="str">
        <f t="shared" ref="CL3:CL18" si="45">IF(LEN(CM3)=0,"",LEN(CM3))</f>
        <v/>
      </c>
      <c r="CM3" s="3"/>
      <c r="CN3" s="48" t="str">
        <f t="shared" ref="CN3:CN18" si="46">IF(LEN(CO3)=0,"",LEN(CO3))</f>
        <v/>
      </c>
      <c r="CO3" s="3"/>
      <c r="CP3" s="48" t="str">
        <f t="shared" ref="CP3:CP18" si="47">IF(LEN(CQ3)=0,"",LEN(CQ3))</f>
        <v/>
      </c>
      <c r="CQ3" s="3"/>
      <c r="CR3" s="48" t="str">
        <f t="shared" ref="CR3:CR18" si="48">IF(LEN(CS3)=0,"",LEN(CS3))</f>
        <v/>
      </c>
      <c r="CS3" s="3"/>
      <c r="CT3" s="48" t="str">
        <f t="shared" ref="CT3:CT18" si="49">IF(LEN(CU3)=0,"",LEN(CU3))</f>
        <v/>
      </c>
      <c r="CU3" s="3"/>
      <c r="CV3" s="48" t="str">
        <f t="shared" ref="CV3:CV18" si="50">IF(LEN(CW3)=0,"",LEN(CW3))</f>
        <v/>
      </c>
      <c r="CW3" s="3"/>
      <c r="CX3" s="48" t="str">
        <f t="shared" ref="CX3:CX18" si="51">IF(LEN(CY3)=0,"",LEN(CY3))</f>
        <v/>
      </c>
      <c r="CY3" s="3"/>
      <c r="CZ3" s="48" t="str">
        <f t="shared" ref="CZ3:CZ18" si="52">IF(LEN(DA3)=0,"",LEN(DA3))</f>
        <v/>
      </c>
      <c r="DA3" s="3"/>
      <c r="DB3" s="48" t="str">
        <f t="shared" ref="DB3:DB18" si="53">IF(LEN(DC3)=0,"",LEN(DC3))</f>
        <v/>
      </c>
      <c r="DC3" s="3"/>
      <c r="DD3" s="48" t="str">
        <f t="shared" ref="DD3:DD18" si="54">IF(LEN(DE3)=0,"",LEN(DE3))</f>
        <v/>
      </c>
      <c r="DE3" s="3"/>
      <c r="DF3" s="48" t="str">
        <f t="shared" ref="DF3:DF18" si="55">IF(LEN(DG3)=0,"",LEN(DG3))</f>
        <v/>
      </c>
      <c r="DG3" s="3"/>
      <c r="DH3" s="48" t="str">
        <f t="shared" ref="DH3:DH18" si="56">IF(LEN(DI3)=0,"",LEN(DI3))</f>
        <v/>
      </c>
      <c r="DI3" s="3"/>
      <c r="DJ3" s="48" t="str">
        <f t="shared" ref="DJ3:DJ18" si="57">IF(LEN(DK3)=0,"",LEN(DK3))</f>
        <v/>
      </c>
      <c r="DK3" s="3"/>
      <c r="DL3" s="48" t="str">
        <f t="shared" ref="DL3:DL18" si="58">IF(LEN(DM3)=0,"",LEN(DM3))</f>
        <v/>
      </c>
      <c r="DM3" s="3"/>
      <c r="DN3" s="48" t="str">
        <f t="shared" ref="DN3:DN18" si="59">IF(LEN(DO3)=0,"",LEN(DO3))</f>
        <v/>
      </c>
      <c r="DO3" s="3"/>
      <c r="DP3" s="48" t="str">
        <f t="shared" ref="DP3:DP18" si="60">IF(LEN(DQ3)=0,"",LEN(DQ3))</f>
        <v/>
      </c>
    </row>
    <row r="4" ht="15.75" customHeight="1">
      <c r="A4" s="47" t="s">
        <v>104</v>
      </c>
      <c r="B4" s="48">
        <f t="shared" si="1"/>
        <v>23</v>
      </c>
      <c r="C4" s="3" t="s">
        <v>105</v>
      </c>
      <c r="D4" s="48">
        <f t="shared" si="2"/>
        <v>22</v>
      </c>
      <c r="E4" s="3" t="s">
        <v>106</v>
      </c>
      <c r="F4" s="48">
        <f t="shared" si="3"/>
        <v>23</v>
      </c>
      <c r="G4" s="3" t="s">
        <v>107</v>
      </c>
      <c r="H4" s="48">
        <f t="shared" si="4"/>
        <v>23</v>
      </c>
      <c r="I4" s="3" t="s">
        <v>108</v>
      </c>
      <c r="J4" s="48">
        <f t="shared" si="5"/>
        <v>27</v>
      </c>
      <c r="K4" s="3" t="s">
        <v>109</v>
      </c>
      <c r="L4" s="48">
        <f t="shared" si="6"/>
        <v>24</v>
      </c>
      <c r="M4" s="3" t="s">
        <v>110</v>
      </c>
      <c r="N4" s="48" t="str">
        <f t="shared" si="7"/>
        <v/>
      </c>
      <c r="O4" s="3"/>
      <c r="P4" s="48" t="str">
        <f t="shared" si="8"/>
        <v/>
      </c>
      <c r="Q4" s="3"/>
      <c r="R4" s="48" t="str">
        <f t="shared" si="9"/>
        <v/>
      </c>
      <c r="S4" s="3"/>
      <c r="T4" s="48" t="str">
        <f t="shared" si="10"/>
        <v/>
      </c>
      <c r="U4" s="3"/>
      <c r="V4" s="48" t="str">
        <f t="shared" si="11"/>
        <v/>
      </c>
      <c r="W4" s="3"/>
      <c r="X4" s="48" t="str">
        <f t="shared" si="12"/>
        <v/>
      </c>
      <c r="Y4" s="3"/>
      <c r="Z4" s="48" t="str">
        <f t="shared" si="13"/>
        <v/>
      </c>
      <c r="AA4" s="3"/>
      <c r="AB4" s="48" t="str">
        <f t="shared" si="14"/>
        <v/>
      </c>
      <c r="AC4" s="3"/>
      <c r="AD4" s="48" t="str">
        <f t="shared" si="15"/>
        <v/>
      </c>
      <c r="AE4" s="3"/>
      <c r="AF4" s="48" t="str">
        <f t="shared" si="16"/>
        <v/>
      </c>
      <c r="AG4" s="3"/>
      <c r="AH4" s="48" t="str">
        <f t="shared" si="17"/>
        <v/>
      </c>
      <c r="AI4" s="3"/>
      <c r="AJ4" s="48" t="str">
        <f t="shared" si="18"/>
        <v/>
      </c>
      <c r="AK4" s="3"/>
      <c r="AL4" s="48" t="str">
        <f t="shared" si="19"/>
        <v/>
      </c>
      <c r="AM4" s="3"/>
      <c r="AN4" s="48" t="str">
        <f t="shared" si="20"/>
        <v/>
      </c>
      <c r="AO4" s="3"/>
      <c r="AP4" s="48" t="str">
        <f t="shared" si="21"/>
        <v/>
      </c>
      <c r="AQ4" s="3"/>
      <c r="AR4" s="48" t="str">
        <f t="shared" si="22"/>
        <v/>
      </c>
      <c r="AS4" s="3"/>
      <c r="AT4" s="48" t="str">
        <f t="shared" si="23"/>
        <v/>
      </c>
      <c r="AU4" s="3"/>
      <c r="AV4" s="48" t="str">
        <f t="shared" si="24"/>
        <v/>
      </c>
      <c r="AW4" s="3"/>
      <c r="AX4" s="48" t="str">
        <f t="shared" si="25"/>
        <v/>
      </c>
      <c r="AY4" s="3"/>
      <c r="AZ4" s="48" t="str">
        <f t="shared" si="26"/>
        <v/>
      </c>
      <c r="BA4" s="3"/>
      <c r="BB4" s="48" t="str">
        <f t="shared" si="27"/>
        <v/>
      </c>
      <c r="BC4" s="3"/>
      <c r="BD4" s="48" t="str">
        <f t="shared" si="28"/>
        <v/>
      </c>
      <c r="BE4" s="3"/>
      <c r="BF4" s="48" t="str">
        <f t="shared" si="29"/>
        <v/>
      </c>
      <c r="BG4" s="3"/>
      <c r="BH4" s="48" t="str">
        <f t="shared" si="30"/>
        <v/>
      </c>
      <c r="BI4" s="3"/>
      <c r="BJ4" s="48" t="str">
        <f t="shared" si="31"/>
        <v/>
      </c>
      <c r="BK4" s="3"/>
      <c r="BL4" s="48" t="str">
        <f t="shared" si="32"/>
        <v/>
      </c>
      <c r="BM4" s="3"/>
      <c r="BN4" s="48" t="str">
        <f t="shared" si="33"/>
        <v/>
      </c>
      <c r="BO4" s="3"/>
      <c r="BP4" s="48" t="str">
        <f t="shared" si="34"/>
        <v/>
      </c>
      <c r="BQ4" s="3"/>
      <c r="BR4" s="48" t="str">
        <f t="shared" si="35"/>
        <v/>
      </c>
      <c r="BS4" s="3"/>
      <c r="BT4" s="48" t="str">
        <f t="shared" si="36"/>
        <v/>
      </c>
      <c r="BU4" s="3"/>
      <c r="BV4" s="48" t="str">
        <f t="shared" si="37"/>
        <v/>
      </c>
      <c r="BW4" s="3"/>
      <c r="BX4" s="48" t="str">
        <f t="shared" si="38"/>
        <v/>
      </c>
      <c r="BY4" s="3"/>
      <c r="BZ4" s="48" t="str">
        <f t="shared" si="39"/>
        <v/>
      </c>
      <c r="CA4" s="3"/>
      <c r="CB4" s="48" t="str">
        <f t="shared" si="40"/>
        <v/>
      </c>
      <c r="CC4" s="3"/>
      <c r="CD4" s="48" t="str">
        <f t="shared" si="41"/>
        <v/>
      </c>
      <c r="CE4" s="3"/>
      <c r="CF4" s="48" t="str">
        <f t="shared" si="42"/>
        <v/>
      </c>
      <c r="CG4" s="3"/>
      <c r="CH4" s="48" t="str">
        <f t="shared" si="43"/>
        <v/>
      </c>
      <c r="CI4" s="3"/>
      <c r="CJ4" s="48" t="str">
        <f t="shared" si="44"/>
        <v/>
      </c>
      <c r="CK4" s="3"/>
      <c r="CL4" s="48" t="str">
        <f t="shared" si="45"/>
        <v/>
      </c>
      <c r="CM4" s="3"/>
      <c r="CN4" s="48" t="str">
        <f t="shared" si="46"/>
        <v/>
      </c>
      <c r="CO4" s="3"/>
      <c r="CP4" s="48" t="str">
        <f t="shared" si="47"/>
        <v/>
      </c>
      <c r="CQ4" s="3"/>
      <c r="CR4" s="48" t="str">
        <f t="shared" si="48"/>
        <v/>
      </c>
      <c r="CS4" s="3"/>
      <c r="CT4" s="48" t="str">
        <f t="shared" si="49"/>
        <v/>
      </c>
      <c r="CU4" s="3"/>
      <c r="CV4" s="48" t="str">
        <f t="shared" si="50"/>
        <v/>
      </c>
      <c r="CW4" s="3"/>
      <c r="CX4" s="48" t="str">
        <f t="shared" si="51"/>
        <v/>
      </c>
      <c r="CY4" s="3"/>
      <c r="CZ4" s="48" t="str">
        <f t="shared" si="52"/>
        <v/>
      </c>
      <c r="DA4" s="3"/>
      <c r="DB4" s="48" t="str">
        <f t="shared" si="53"/>
        <v/>
      </c>
      <c r="DC4" s="3"/>
      <c r="DD4" s="48" t="str">
        <f t="shared" si="54"/>
        <v/>
      </c>
      <c r="DE4" s="3"/>
      <c r="DF4" s="48" t="str">
        <f t="shared" si="55"/>
        <v/>
      </c>
      <c r="DG4" s="3"/>
      <c r="DH4" s="48" t="str">
        <f t="shared" si="56"/>
        <v/>
      </c>
      <c r="DI4" s="3"/>
      <c r="DJ4" s="48" t="str">
        <f t="shared" si="57"/>
        <v/>
      </c>
      <c r="DK4" s="3"/>
      <c r="DL4" s="48" t="str">
        <f t="shared" si="58"/>
        <v/>
      </c>
      <c r="DM4" s="3"/>
      <c r="DN4" s="48" t="str">
        <f t="shared" si="59"/>
        <v/>
      </c>
      <c r="DO4" s="3"/>
      <c r="DP4" s="48" t="str">
        <f t="shared" si="60"/>
        <v/>
      </c>
    </row>
    <row r="5" ht="15.75" customHeight="1">
      <c r="A5" s="47" t="s">
        <v>111</v>
      </c>
      <c r="B5" s="48">
        <f t="shared" si="1"/>
        <v>21</v>
      </c>
      <c r="C5" s="3" t="s">
        <v>112</v>
      </c>
      <c r="D5" s="48">
        <f t="shared" si="2"/>
        <v>26</v>
      </c>
      <c r="E5" s="3" t="s">
        <v>113</v>
      </c>
      <c r="F5" s="48">
        <f t="shared" si="3"/>
        <v>23</v>
      </c>
      <c r="G5" s="3" t="s">
        <v>114</v>
      </c>
      <c r="H5" s="48">
        <f t="shared" si="4"/>
        <v>25</v>
      </c>
      <c r="I5" s="3" t="s">
        <v>115</v>
      </c>
      <c r="J5" s="48">
        <f t="shared" si="5"/>
        <v>24</v>
      </c>
      <c r="K5" s="3" t="s">
        <v>116</v>
      </c>
      <c r="L5" s="48">
        <f t="shared" si="6"/>
        <v>22</v>
      </c>
      <c r="M5" s="3" t="s">
        <v>117</v>
      </c>
      <c r="N5" s="48" t="str">
        <f t="shared" si="7"/>
        <v/>
      </c>
      <c r="O5" s="3"/>
      <c r="P5" s="48" t="str">
        <f t="shared" si="8"/>
        <v/>
      </c>
      <c r="Q5" s="3"/>
      <c r="R5" s="48" t="str">
        <f t="shared" si="9"/>
        <v/>
      </c>
      <c r="S5" s="3"/>
      <c r="T5" s="48" t="str">
        <f t="shared" si="10"/>
        <v/>
      </c>
      <c r="U5" s="3"/>
      <c r="V5" s="48" t="str">
        <f t="shared" si="11"/>
        <v/>
      </c>
      <c r="W5" s="3"/>
      <c r="X5" s="48" t="str">
        <f t="shared" si="12"/>
        <v/>
      </c>
      <c r="Y5" s="3"/>
      <c r="Z5" s="48" t="str">
        <f t="shared" si="13"/>
        <v/>
      </c>
      <c r="AA5" s="3"/>
      <c r="AB5" s="48" t="str">
        <f t="shared" si="14"/>
        <v/>
      </c>
      <c r="AC5" s="3"/>
      <c r="AD5" s="48" t="str">
        <f t="shared" si="15"/>
        <v/>
      </c>
      <c r="AE5" s="3"/>
      <c r="AF5" s="48" t="str">
        <f t="shared" si="16"/>
        <v/>
      </c>
      <c r="AG5" s="3"/>
      <c r="AH5" s="48" t="str">
        <f t="shared" si="17"/>
        <v/>
      </c>
      <c r="AI5" s="3"/>
      <c r="AJ5" s="48" t="str">
        <f t="shared" si="18"/>
        <v/>
      </c>
      <c r="AK5" s="3"/>
      <c r="AL5" s="48" t="str">
        <f t="shared" si="19"/>
        <v/>
      </c>
      <c r="AM5" s="3"/>
      <c r="AN5" s="48" t="str">
        <f t="shared" si="20"/>
        <v/>
      </c>
      <c r="AO5" s="3"/>
      <c r="AP5" s="48" t="str">
        <f t="shared" si="21"/>
        <v/>
      </c>
      <c r="AQ5" s="3"/>
      <c r="AR5" s="48" t="str">
        <f t="shared" si="22"/>
        <v/>
      </c>
      <c r="AS5" s="3"/>
      <c r="AT5" s="48" t="str">
        <f t="shared" si="23"/>
        <v/>
      </c>
      <c r="AU5" s="3"/>
      <c r="AV5" s="48" t="str">
        <f t="shared" si="24"/>
        <v/>
      </c>
      <c r="AW5" s="3"/>
      <c r="AX5" s="48" t="str">
        <f t="shared" si="25"/>
        <v/>
      </c>
      <c r="AY5" s="3"/>
      <c r="AZ5" s="48" t="str">
        <f t="shared" si="26"/>
        <v/>
      </c>
      <c r="BA5" s="3"/>
      <c r="BB5" s="48" t="str">
        <f t="shared" si="27"/>
        <v/>
      </c>
      <c r="BC5" s="3"/>
      <c r="BD5" s="48" t="str">
        <f t="shared" si="28"/>
        <v/>
      </c>
      <c r="BE5" s="3"/>
      <c r="BF5" s="48" t="str">
        <f t="shared" si="29"/>
        <v/>
      </c>
      <c r="BG5" s="3"/>
      <c r="BH5" s="48" t="str">
        <f t="shared" si="30"/>
        <v/>
      </c>
      <c r="BI5" s="3"/>
      <c r="BJ5" s="48" t="str">
        <f t="shared" si="31"/>
        <v/>
      </c>
      <c r="BK5" s="3"/>
      <c r="BL5" s="48" t="str">
        <f t="shared" si="32"/>
        <v/>
      </c>
      <c r="BM5" s="3"/>
      <c r="BN5" s="48" t="str">
        <f t="shared" si="33"/>
        <v/>
      </c>
      <c r="BO5" s="3"/>
      <c r="BP5" s="48" t="str">
        <f t="shared" si="34"/>
        <v/>
      </c>
      <c r="BQ5" s="3"/>
      <c r="BR5" s="48" t="str">
        <f t="shared" si="35"/>
        <v/>
      </c>
      <c r="BS5" s="3"/>
      <c r="BT5" s="48" t="str">
        <f t="shared" si="36"/>
        <v/>
      </c>
      <c r="BU5" s="3"/>
      <c r="BV5" s="48" t="str">
        <f t="shared" si="37"/>
        <v/>
      </c>
      <c r="BW5" s="3"/>
      <c r="BX5" s="48" t="str">
        <f t="shared" si="38"/>
        <v/>
      </c>
      <c r="BY5" s="3"/>
      <c r="BZ5" s="48" t="str">
        <f t="shared" si="39"/>
        <v/>
      </c>
      <c r="CA5" s="3"/>
      <c r="CB5" s="48" t="str">
        <f t="shared" si="40"/>
        <v/>
      </c>
      <c r="CC5" s="3"/>
      <c r="CD5" s="48" t="str">
        <f t="shared" si="41"/>
        <v/>
      </c>
      <c r="CE5" s="3"/>
      <c r="CF5" s="48" t="str">
        <f t="shared" si="42"/>
        <v/>
      </c>
      <c r="CG5" s="3"/>
      <c r="CH5" s="48" t="str">
        <f t="shared" si="43"/>
        <v/>
      </c>
      <c r="CI5" s="3"/>
      <c r="CJ5" s="48" t="str">
        <f t="shared" si="44"/>
        <v/>
      </c>
      <c r="CK5" s="3"/>
      <c r="CL5" s="48" t="str">
        <f t="shared" si="45"/>
        <v/>
      </c>
      <c r="CM5" s="3"/>
      <c r="CN5" s="48" t="str">
        <f t="shared" si="46"/>
        <v/>
      </c>
      <c r="CO5" s="3"/>
      <c r="CP5" s="48" t="str">
        <f t="shared" si="47"/>
        <v/>
      </c>
      <c r="CQ5" s="3"/>
      <c r="CR5" s="48" t="str">
        <f t="shared" si="48"/>
        <v/>
      </c>
      <c r="CS5" s="3"/>
      <c r="CT5" s="48" t="str">
        <f t="shared" si="49"/>
        <v/>
      </c>
      <c r="CU5" s="3"/>
      <c r="CV5" s="48" t="str">
        <f t="shared" si="50"/>
        <v/>
      </c>
      <c r="CW5" s="3"/>
      <c r="CX5" s="48" t="str">
        <f t="shared" si="51"/>
        <v/>
      </c>
      <c r="CY5" s="3"/>
      <c r="CZ5" s="48" t="str">
        <f t="shared" si="52"/>
        <v/>
      </c>
      <c r="DA5" s="3"/>
      <c r="DB5" s="48" t="str">
        <f t="shared" si="53"/>
        <v/>
      </c>
      <c r="DC5" s="3"/>
      <c r="DD5" s="48" t="str">
        <f t="shared" si="54"/>
        <v/>
      </c>
      <c r="DE5" s="3"/>
      <c r="DF5" s="48" t="str">
        <f t="shared" si="55"/>
        <v/>
      </c>
      <c r="DG5" s="3"/>
      <c r="DH5" s="48" t="str">
        <f t="shared" si="56"/>
        <v/>
      </c>
      <c r="DI5" s="3"/>
      <c r="DJ5" s="48" t="str">
        <f t="shared" si="57"/>
        <v/>
      </c>
      <c r="DK5" s="3"/>
      <c r="DL5" s="48" t="str">
        <f t="shared" si="58"/>
        <v/>
      </c>
      <c r="DM5" s="3"/>
      <c r="DN5" s="48" t="str">
        <f t="shared" si="59"/>
        <v/>
      </c>
      <c r="DO5" s="3"/>
      <c r="DP5" s="48" t="str">
        <f t="shared" si="60"/>
        <v/>
      </c>
    </row>
    <row r="6" ht="15.75" customHeight="1">
      <c r="A6" s="47" t="s">
        <v>118</v>
      </c>
      <c r="B6" s="48">
        <f t="shared" si="1"/>
        <v>19</v>
      </c>
      <c r="C6" s="3" t="s">
        <v>119</v>
      </c>
      <c r="D6" s="48">
        <f t="shared" si="2"/>
        <v>28</v>
      </c>
      <c r="E6" s="3" t="s">
        <v>120</v>
      </c>
      <c r="F6" s="48">
        <f t="shared" si="3"/>
        <v>22</v>
      </c>
      <c r="G6" s="3" t="s">
        <v>121</v>
      </c>
      <c r="H6" s="48">
        <f t="shared" si="4"/>
        <v>23</v>
      </c>
      <c r="I6" s="3" t="s">
        <v>122</v>
      </c>
      <c r="J6" s="48">
        <f t="shared" si="5"/>
        <v>21</v>
      </c>
      <c r="K6" s="3" t="s">
        <v>123</v>
      </c>
      <c r="L6" s="48">
        <f t="shared" si="6"/>
        <v>26</v>
      </c>
      <c r="M6" s="3" t="s">
        <v>124</v>
      </c>
      <c r="N6" s="48" t="str">
        <f t="shared" si="7"/>
        <v/>
      </c>
      <c r="O6" s="3"/>
      <c r="P6" s="48" t="str">
        <f t="shared" si="8"/>
        <v/>
      </c>
      <c r="Q6" s="3"/>
      <c r="R6" s="48" t="str">
        <f t="shared" si="9"/>
        <v/>
      </c>
      <c r="S6" s="3"/>
      <c r="T6" s="48" t="str">
        <f t="shared" si="10"/>
        <v/>
      </c>
      <c r="U6" s="3"/>
      <c r="V6" s="48" t="str">
        <f t="shared" si="11"/>
        <v/>
      </c>
      <c r="W6" s="3"/>
      <c r="X6" s="48" t="str">
        <f t="shared" si="12"/>
        <v/>
      </c>
      <c r="Y6" s="3"/>
      <c r="Z6" s="48" t="str">
        <f t="shared" si="13"/>
        <v/>
      </c>
      <c r="AA6" s="3"/>
      <c r="AB6" s="48" t="str">
        <f t="shared" si="14"/>
        <v/>
      </c>
      <c r="AC6" s="3"/>
      <c r="AD6" s="48" t="str">
        <f t="shared" si="15"/>
        <v/>
      </c>
      <c r="AE6" s="3"/>
      <c r="AF6" s="48" t="str">
        <f t="shared" si="16"/>
        <v/>
      </c>
      <c r="AG6" s="3"/>
      <c r="AH6" s="48" t="str">
        <f t="shared" si="17"/>
        <v/>
      </c>
      <c r="AI6" s="3"/>
      <c r="AJ6" s="48" t="str">
        <f t="shared" si="18"/>
        <v/>
      </c>
      <c r="AK6" s="3"/>
      <c r="AL6" s="48" t="str">
        <f t="shared" si="19"/>
        <v/>
      </c>
      <c r="AM6" s="3"/>
      <c r="AN6" s="48" t="str">
        <f t="shared" si="20"/>
        <v/>
      </c>
      <c r="AO6" s="3"/>
      <c r="AP6" s="48" t="str">
        <f t="shared" si="21"/>
        <v/>
      </c>
      <c r="AQ6" s="3"/>
      <c r="AR6" s="48" t="str">
        <f t="shared" si="22"/>
        <v/>
      </c>
      <c r="AS6" s="3"/>
      <c r="AT6" s="48" t="str">
        <f t="shared" si="23"/>
        <v/>
      </c>
      <c r="AU6" s="3"/>
      <c r="AV6" s="48" t="str">
        <f t="shared" si="24"/>
        <v/>
      </c>
      <c r="AW6" s="3"/>
      <c r="AX6" s="48" t="str">
        <f t="shared" si="25"/>
        <v/>
      </c>
      <c r="AY6" s="3"/>
      <c r="AZ6" s="48" t="str">
        <f t="shared" si="26"/>
        <v/>
      </c>
      <c r="BA6" s="3"/>
      <c r="BB6" s="48" t="str">
        <f t="shared" si="27"/>
        <v/>
      </c>
      <c r="BC6" s="3"/>
      <c r="BD6" s="48" t="str">
        <f t="shared" si="28"/>
        <v/>
      </c>
      <c r="BE6" s="3"/>
      <c r="BF6" s="48" t="str">
        <f t="shared" si="29"/>
        <v/>
      </c>
      <c r="BG6" s="3"/>
      <c r="BH6" s="48" t="str">
        <f t="shared" si="30"/>
        <v/>
      </c>
      <c r="BI6" s="3"/>
      <c r="BJ6" s="48" t="str">
        <f t="shared" si="31"/>
        <v/>
      </c>
      <c r="BK6" s="3"/>
      <c r="BL6" s="48" t="str">
        <f t="shared" si="32"/>
        <v/>
      </c>
      <c r="BM6" s="3"/>
      <c r="BN6" s="48" t="str">
        <f t="shared" si="33"/>
        <v/>
      </c>
      <c r="BO6" s="3"/>
      <c r="BP6" s="48" t="str">
        <f t="shared" si="34"/>
        <v/>
      </c>
      <c r="BQ6" s="3"/>
      <c r="BR6" s="48" t="str">
        <f t="shared" si="35"/>
        <v/>
      </c>
      <c r="BS6" s="3"/>
      <c r="BT6" s="48" t="str">
        <f t="shared" si="36"/>
        <v/>
      </c>
      <c r="BU6" s="3"/>
      <c r="BV6" s="48" t="str">
        <f t="shared" si="37"/>
        <v/>
      </c>
      <c r="BW6" s="3"/>
      <c r="BX6" s="48" t="str">
        <f t="shared" si="38"/>
        <v/>
      </c>
      <c r="BY6" s="3"/>
      <c r="BZ6" s="48" t="str">
        <f t="shared" si="39"/>
        <v/>
      </c>
      <c r="CA6" s="3"/>
      <c r="CB6" s="48" t="str">
        <f t="shared" si="40"/>
        <v/>
      </c>
      <c r="CC6" s="3"/>
      <c r="CD6" s="48" t="str">
        <f t="shared" si="41"/>
        <v/>
      </c>
      <c r="CE6" s="3"/>
      <c r="CF6" s="48" t="str">
        <f t="shared" si="42"/>
        <v/>
      </c>
      <c r="CG6" s="3"/>
      <c r="CH6" s="48" t="str">
        <f t="shared" si="43"/>
        <v/>
      </c>
      <c r="CI6" s="3"/>
      <c r="CJ6" s="48" t="str">
        <f t="shared" si="44"/>
        <v/>
      </c>
      <c r="CK6" s="3"/>
      <c r="CL6" s="48" t="str">
        <f t="shared" si="45"/>
        <v/>
      </c>
      <c r="CM6" s="3"/>
      <c r="CN6" s="48" t="str">
        <f t="shared" si="46"/>
        <v/>
      </c>
      <c r="CO6" s="3"/>
      <c r="CP6" s="48" t="str">
        <f t="shared" si="47"/>
        <v/>
      </c>
      <c r="CQ6" s="3"/>
      <c r="CR6" s="48" t="str">
        <f t="shared" si="48"/>
        <v/>
      </c>
      <c r="CS6" s="3"/>
      <c r="CT6" s="48" t="str">
        <f t="shared" si="49"/>
        <v/>
      </c>
      <c r="CU6" s="3"/>
      <c r="CV6" s="48" t="str">
        <f t="shared" si="50"/>
        <v/>
      </c>
      <c r="CW6" s="3"/>
      <c r="CX6" s="48" t="str">
        <f t="shared" si="51"/>
        <v/>
      </c>
      <c r="CY6" s="3"/>
      <c r="CZ6" s="48" t="str">
        <f t="shared" si="52"/>
        <v/>
      </c>
      <c r="DA6" s="3"/>
      <c r="DB6" s="48" t="str">
        <f t="shared" si="53"/>
        <v/>
      </c>
      <c r="DC6" s="3"/>
      <c r="DD6" s="48" t="str">
        <f t="shared" si="54"/>
        <v/>
      </c>
      <c r="DE6" s="3"/>
      <c r="DF6" s="48" t="str">
        <f t="shared" si="55"/>
        <v/>
      </c>
      <c r="DG6" s="3"/>
      <c r="DH6" s="48" t="str">
        <f t="shared" si="56"/>
        <v/>
      </c>
      <c r="DI6" s="3"/>
      <c r="DJ6" s="48" t="str">
        <f t="shared" si="57"/>
        <v/>
      </c>
      <c r="DK6" s="3"/>
      <c r="DL6" s="48" t="str">
        <f t="shared" si="58"/>
        <v/>
      </c>
      <c r="DM6" s="3"/>
      <c r="DN6" s="48" t="str">
        <f t="shared" si="59"/>
        <v/>
      </c>
      <c r="DO6" s="3"/>
      <c r="DP6" s="48" t="str">
        <f t="shared" si="60"/>
        <v/>
      </c>
    </row>
    <row r="7" ht="15.75" customHeight="1">
      <c r="A7" s="47" t="s">
        <v>125</v>
      </c>
      <c r="B7" s="48">
        <f t="shared" si="1"/>
        <v>24</v>
      </c>
      <c r="C7" s="3" t="s">
        <v>126</v>
      </c>
      <c r="D7" s="48">
        <f t="shared" si="2"/>
        <v>20</v>
      </c>
      <c r="E7" s="3" t="s">
        <v>127</v>
      </c>
      <c r="F7" s="48">
        <f t="shared" si="3"/>
        <v>25</v>
      </c>
      <c r="G7" s="3" t="s">
        <v>128</v>
      </c>
      <c r="H7" s="48">
        <f t="shared" si="4"/>
        <v>21</v>
      </c>
      <c r="I7" s="3" t="s">
        <v>129</v>
      </c>
      <c r="J7" s="48">
        <f t="shared" si="5"/>
        <v>24</v>
      </c>
      <c r="K7" s="3" t="s">
        <v>130</v>
      </c>
      <c r="L7" s="48">
        <f t="shared" si="6"/>
        <v>25</v>
      </c>
      <c r="M7" s="3" t="s">
        <v>131</v>
      </c>
      <c r="N7" s="48" t="str">
        <f t="shared" si="7"/>
        <v/>
      </c>
      <c r="O7" s="3"/>
      <c r="P7" s="48" t="str">
        <f t="shared" si="8"/>
        <v/>
      </c>
      <c r="Q7" s="3"/>
      <c r="R7" s="48" t="str">
        <f t="shared" si="9"/>
        <v/>
      </c>
      <c r="S7" s="3"/>
      <c r="T7" s="48" t="str">
        <f t="shared" si="10"/>
        <v/>
      </c>
      <c r="U7" s="3"/>
      <c r="V7" s="48" t="str">
        <f t="shared" si="11"/>
        <v/>
      </c>
      <c r="W7" s="3"/>
      <c r="X7" s="48" t="str">
        <f t="shared" si="12"/>
        <v/>
      </c>
      <c r="Y7" s="3"/>
      <c r="Z7" s="48" t="str">
        <f t="shared" si="13"/>
        <v/>
      </c>
      <c r="AA7" s="3"/>
      <c r="AB7" s="48" t="str">
        <f t="shared" si="14"/>
        <v/>
      </c>
      <c r="AC7" s="3"/>
      <c r="AD7" s="48" t="str">
        <f t="shared" si="15"/>
        <v/>
      </c>
      <c r="AE7" s="3"/>
      <c r="AF7" s="48" t="str">
        <f t="shared" si="16"/>
        <v/>
      </c>
      <c r="AG7" s="3"/>
      <c r="AH7" s="48" t="str">
        <f t="shared" si="17"/>
        <v/>
      </c>
      <c r="AI7" s="3"/>
      <c r="AJ7" s="48" t="str">
        <f t="shared" si="18"/>
        <v/>
      </c>
      <c r="AK7" s="3"/>
      <c r="AL7" s="48" t="str">
        <f t="shared" si="19"/>
        <v/>
      </c>
      <c r="AM7" s="3"/>
      <c r="AN7" s="48" t="str">
        <f t="shared" si="20"/>
        <v/>
      </c>
      <c r="AO7" s="3"/>
      <c r="AP7" s="48" t="str">
        <f t="shared" si="21"/>
        <v/>
      </c>
      <c r="AQ7" s="3"/>
      <c r="AR7" s="48" t="str">
        <f t="shared" si="22"/>
        <v/>
      </c>
      <c r="AS7" s="3"/>
      <c r="AT7" s="48" t="str">
        <f t="shared" si="23"/>
        <v/>
      </c>
      <c r="AU7" s="3"/>
      <c r="AV7" s="48" t="str">
        <f t="shared" si="24"/>
        <v/>
      </c>
      <c r="AW7" s="3"/>
      <c r="AX7" s="48" t="str">
        <f t="shared" si="25"/>
        <v/>
      </c>
      <c r="AY7" s="3"/>
      <c r="AZ7" s="48" t="str">
        <f t="shared" si="26"/>
        <v/>
      </c>
      <c r="BA7" s="3"/>
      <c r="BB7" s="48" t="str">
        <f t="shared" si="27"/>
        <v/>
      </c>
      <c r="BC7" s="3"/>
      <c r="BD7" s="48" t="str">
        <f t="shared" si="28"/>
        <v/>
      </c>
      <c r="BE7" s="3"/>
      <c r="BF7" s="48" t="str">
        <f t="shared" si="29"/>
        <v/>
      </c>
      <c r="BG7" s="3"/>
      <c r="BH7" s="48" t="str">
        <f t="shared" si="30"/>
        <v/>
      </c>
      <c r="BI7" s="3"/>
      <c r="BJ7" s="48" t="str">
        <f t="shared" si="31"/>
        <v/>
      </c>
      <c r="BK7" s="3"/>
      <c r="BL7" s="48" t="str">
        <f t="shared" si="32"/>
        <v/>
      </c>
      <c r="BM7" s="3"/>
      <c r="BN7" s="48" t="str">
        <f t="shared" si="33"/>
        <v/>
      </c>
      <c r="BO7" s="3"/>
      <c r="BP7" s="48" t="str">
        <f t="shared" si="34"/>
        <v/>
      </c>
      <c r="BQ7" s="3"/>
      <c r="BR7" s="48" t="str">
        <f t="shared" si="35"/>
        <v/>
      </c>
      <c r="BS7" s="3"/>
      <c r="BT7" s="48" t="str">
        <f t="shared" si="36"/>
        <v/>
      </c>
      <c r="BU7" s="3"/>
      <c r="BV7" s="48" t="str">
        <f t="shared" si="37"/>
        <v/>
      </c>
      <c r="BW7" s="3"/>
      <c r="BX7" s="48" t="str">
        <f t="shared" si="38"/>
        <v/>
      </c>
      <c r="BY7" s="3"/>
      <c r="BZ7" s="48" t="str">
        <f t="shared" si="39"/>
        <v/>
      </c>
      <c r="CA7" s="3"/>
      <c r="CB7" s="48" t="str">
        <f t="shared" si="40"/>
        <v/>
      </c>
      <c r="CC7" s="3"/>
      <c r="CD7" s="48" t="str">
        <f t="shared" si="41"/>
        <v/>
      </c>
      <c r="CE7" s="3"/>
      <c r="CF7" s="48" t="str">
        <f t="shared" si="42"/>
        <v/>
      </c>
      <c r="CG7" s="3"/>
      <c r="CH7" s="48" t="str">
        <f t="shared" si="43"/>
        <v/>
      </c>
      <c r="CI7" s="3"/>
      <c r="CJ7" s="48" t="str">
        <f t="shared" si="44"/>
        <v/>
      </c>
      <c r="CK7" s="3"/>
      <c r="CL7" s="48" t="str">
        <f t="shared" si="45"/>
        <v/>
      </c>
      <c r="CM7" s="3"/>
      <c r="CN7" s="48" t="str">
        <f t="shared" si="46"/>
        <v/>
      </c>
      <c r="CO7" s="3"/>
      <c r="CP7" s="48" t="str">
        <f t="shared" si="47"/>
        <v/>
      </c>
      <c r="CQ7" s="3"/>
      <c r="CR7" s="48" t="str">
        <f t="shared" si="48"/>
        <v/>
      </c>
      <c r="CS7" s="3"/>
      <c r="CT7" s="48" t="str">
        <f t="shared" si="49"/>
        <v/>
      </c>
      <c r="CU7" s="3"/>
      <c r="CV7" s="48" t="str">
        <f t="shared" si="50"/>
        <v/>
      </c>
      <c r="CW7" s="3"/>
      <c r="CX7" s="48" t="str">
        <f t="shared" si="51"/>
        <v/>
      </c>
      <c r="CY7" s="3"/>
      <c r="CZ7" s="48" t="str">
        <f t="shared" si="52"/>
        <v/>
      </c>
      <c r="DA7" s="3"/>
      <c r="DB7" s="48" t="str">
        <f t="shared" si="53"/>
        <v/>
      </c>
      <c r="DC7" s="3"/>
      <c r="DD7" s="48" t="str">
        <f t="shared" si="54"/>
        <v/>
      </c>
      <c r="DE7" s="3"/>
      <c r="DF7" s="48" t="str">
        <f t="shared" si="55"/>
        <v/>
      </c>
      <c r="DG7" s="3"/>
      <c r="DH7" s="48" t="str">
        <f t="shared" si="56"/>
        <v/>
      </c>
      <c r="DI7" s="3"/>
      <c r="DJ7" s="48" t="str">
        <f t="shared" si="57"/>
        <v/>
      </c>
      <c r="DK7" s="3"/>
      <c r="DL7" s="48" t="str">
        <f t="shared" si="58"/>
        <v/>
      </c>
      <c r="DM7" s="3"/>
      <c r="DN7" s="48" t="str">
        <f t="shared" si="59"/>
        <v/>
      </c>
      <c r="DO7" s="3"/>
      <c r="DP7" s="48" t="str">
        <f t="shared" si="60"/>
        <v/>
      </c>
    </row>
    <row r="8" ht="15.75" customHeight="1">
      <c r="A8" s="47" t="s">
        <v>132</v>
      </c>
      <c r="B8" s="48">
        <f t="shared" si="1"/>
        <v>22</v>
      </c>
      <c r="C8" s="3" t="s">
        <v>133</v>
      </c>
      <c r="D8" s="48">
        <f t="shared" si="2"/>
        <v>24</v>
      </c>
      <c r="E8" s="3" t="s">
        <v>134</v>
      </c>
      <c r="F8" s="48">
        <f t="shared" si="3"/>
        <v>27</v>
      </c>
      <c r="G8" s="3" t="s">
        <v>135</v>
      </c>
      <c r="H8" s="48">
        <f t="shared" si="4"/>
        <v>22</v>
      </c>
      <c r="I8" s="3" t="s">
        <v>136</v>
      </c>
      <c r="J8" s="48">
        <f t="shared" si="5"/>
        <v>27</v>
      </c>
      <c r="K8" s="3" t="s">
        <v>137</v>
      </c>
      <c r="L8" s="48">
        <f t="shared" si="6"/>
        <v>25</v>
      </c>
      <c r="M8" s="3" t="s">
        <v>138</v>
      </c>
      <c r="N8" s="48" t="str">
        <f t="shared" si="7"/>
        <v/>
      </c>
      <c r="O8" s="3"/>
      <c r="P8" s="48" t="str">
        <f t="shared" si="8"/>
        <v/>
      </c>
      <c r="Q8" s="3"/>
      <c r="R8" s="48" t="str">
        <f t="shared" si="9"/>
        <v/>
      </c>
      <c r="S8" s="3"/>
      <c r="T8" s="48" t="str">
        <f t="shared" si="10"/>
        <v/>
      </c>
      <c r="U8" s="3"/>
      <c r="V8" s="48" t="str">
        <f t="shared" si="11"/>
        <v/>
      </c>
      <c r="W8" s="3"/>
      <c r="X8" s="48" t="str">
        <f t="shared" si="12"/>
        <v/>
      </c>
      <c r="Y8" s="3"/>
      <c r="Z8" s="48" t="str">
        <f t="shared" si="13"/>
        <v/>
      </c>
      <c r="AA8" s="3"/>
      <c r="AB8" s="48" t="str">
        <f t="shared" si="14"/>
        <v/>
      </c>
      <c r="AC8" s="3"/>
      <c r="AD8" s="48" t="str">
        <f t="shared" si="15"/>
        <v/>
      </c>
      <c r="AE8" s="3"/>
      <c r="AF8" s="48" t="str">
        <f t="shared" si="16"/>
        <v/>
      </c>
      <c r="AG8" s="3"/>
      <c r="AH8" s="48" t="str">
        <f t="shared" si="17"/>
        <v/>
      </c>
      <c r="AI8" s="3"/>
      <c r="AJ8" s="48" t="str">
        <f t="shared" si="18"/>
        <v/>
      </c>
      <c r="AK8" s="3"/>
      <c r="AL8" s="48" t="str">
        <f t="shared" si="19"/>
        <v/>
      </c>
      <c r="AM8" s="3"/>
      <c r="AN8" s="48" t="str">
        <f t="shared" si="20"/>
        <v/>
      </c>
      <c r="AO8" s="3"/>
      <c r="AP8" s="48" t="str">
        <f t="shared" si="21"/>
        <v/>
      </c>
      <c r="AQ8" s="3"/>
      <c r="AR8" s="48" t="str">
        <f t="shared" si="22"/>
        <v/>
      </c>
      <c r="AS8" s="3"/>
      <c r="AT8" s="48" t="str">
        <f t="shared" si="23"/>
        <v/>
      </c>
      <c r="AU8" s="3"/>
      <c r="AV8" s="48" t="str">
        <f t="shared" si="24"/>
        <v/>
      </c>
      <c r="AW8" s="3"/>
      <c r="AX8" s="48" t="str">
        <f t="shared" si="25"/>
        <v/>
      </c>
      <c r="AY8" s="3"/>
      <c r="AZ8" s="48" t="str">
        <f t="shared" si="26"/>
        <v/>
      </c>
      <c r="BA8" s="3"/>
      <c r="BB8" s="48" t="str">
        <f t="shared" si="27"/>
        <v/>
      </c>
      <c r="BC8" s="3"/>
      <c r="BD8" s="48" t="str">
        <f t="shared" si="28"/>
        <v/>
      </c>
      <c r="BE8" s="3"/>
      <c r="BF8" s="48" t="str">
        <f t="shared" si="29"/>
        <v/>
      </c>
      <c r="BG8" s="3"/>
      <c r="BH8" s="48" t="str">
        <f t="shared" si="30"/>
        <v/>
      </c>
      <c r="BI8" s="3"/>
      <c r="BJ8" s="48" t="str">
        <f t="shared" si="31"/>
        <v/>
      </c>
      <c r="BK8" s="3"/>
      <c r="BL8" s="48" t="str">
        <f t="shared" si="32"/>
        <v/>
      </c>
      <c r="BM8" s="3"/>
      <c r="BN8" s="48" t="str">
        <f t="shared" si="33"/>
        <v/>
      </c>
      <c r="BO8" s="3"/>
      <c r="BP8" s="48" t="str">
        <f t="shared" si="34"/>
        <v/>
      </c>
      <c r="BQ8" s="3"/>
      <c r="BR8" s="48" t="str">
        <f t="shared" si="35"/>
        <v/>
      </c>
      <c r="BS8" s="3"/>
      <c r="BT8" s="48" t="str">
        <f t="shared" si="36"/>
        <v/>
      </c>
      <c r="BU8" s="3"/>
      <c r="BV8" s="48" t="str">
        <f t="shared" si="37"/>
        <v/>
      </c>
      <c r="BW8" s="3"/>
      <c r="BX8" s="48" t="str">
        <f t="shared" si="38"/>
        <v/>
      </c>
      <c r="BY8" s="3"/>
      <c r="BZ8" s="48" t="str">
        <f t="shared" si="39"/>
        <v/>
      </c>
      <c r="CA8" s="3"/>
      <c r="CB8" s="48" t="str">
        <f t="shared" si="40"/>
        <v/>
      </c>
      <c r="CC8" s="3"/>
      <c r="CD8" s="48" t="str">
        <f t="shared" si="41"/>
        <v/>
      </c>
      <c r="CE8" s="3"/>
      <c r="CF8" s="48" t="str">
        <f t="shared" si="42"/>
        <v/>
      </c>
      <c r="CG8" s="3"/>
      <c r="CH8" s="48" t="str">
        <f t="shared" si="43"/>
        <v/>
      </c>
      <c r="CI8" s="3"/>
      <c r="CJ8" s="48" t="str">
        <f t="shared" si="44"/>
        <v/>
      </c>
      <c r="CK8" s="3"/>
      <c r="CL8" s="48" t="str">
        <f t="shared" si="45"/>
        <v/>
      </c>
      <c r="CM8" s="3"/>
      <c r="CN8" s="48" t="str">
        <f t="shared" si="46"/>
        <v/>
      </c>
      <c r="CO8" s="3"/>
      <c r="CP8" s="48" t="str">
        <f t="shared" si="47"/>
        <v/>
      </c>
      <c r="CQ8" s="3"/>
      <c r="CR8" s="48" t="str">
        <f t="shared" si="48"/>
        <v/>
      </c>
      <c r="CS8" s="3"/>
      <c r="CT8" s="48" t="str">
        <f t="shared" si="49"/>
        <v/>
      </c>
      <c r="CU8" s="3"/>
      <c r="CV8" s="48" t="str">
        <f t="shared" si="50"/>
        <v/>
      </c>
      <c r="CW8" s="3"/>
      <c r="CX8" s="48" t="str">
        <f t="shared" si="51"/>
        <v/>
      </c>
      <c r="CY8" s="3"/>
      <c r="CZ8" s="48" t="str">
        <f t="shared" si="52"/>
        <v/>
      </c>
      <c r="DA8" s="3"/>
      <c r="DB8" s="48" t="str">
        <f t="shared" si="53"/>
        <v/>
      </c>
      <c r="DC8" s="3"/>
      <c r="DD8" s="48" t="str">
        <f t="shared" si="54"/>
        <v/>
      </c>
      <c r="DE8" s="3"/>
      <c r="DF8" s="48" t="str">
        <f t="shared" si="55"/>
        <v/>
      </c>
      <c r="DG8" s="3"/>
      <c r="DH8" s="48" t="str">
        <f t="shared" si="56"/>
        <v/>
      </c>
      <c r="DI8" s="3"/>
      <c r="DJ8" s="48" t="str">
        <f t="shared" si="57"/>
        <v/>
      </c>
      <c r="DK8" s="3"/>
      <c r="DL8" s="48" t="str">
        <f t="shared" si="58"/>
        <v/>
      </c>
      <c r="DM8" s="3"/>
      <c r="DN8" s="48" t="str">
        <f t="shared" si="59"/>
        <v/>
      </c>
      <c r="DO8" s="3"/>
      <c r="DP8" s="48" t="str">
        <f t="shared" si="60"/>
        <v/>
      </c>
    </row>
    <row r="9" ht="15.75" customHeight="1">
      <c r="A9" s="47" t="s">
        <v>139</v>
      </c>
      <c r="B9" s="48">
        <f t="shared" si="1"/>
        <v>27</v>
      </c>
      <c r="C9" s="3" t="s">
        <v>140</v>
      </c>
      <c r="D9" s="48">
        <f t="shared" si="2"/>
        <v>25</v>
      </c>
      <c r="E9" s="3" t="s">
        <v>141</v>
      </c>
      <c r="F9" s="48">
        <f t="shared" si="3"/>
        <v>26</v>
      </c>
      <c r="G9" s="3" t="s">
        <v>142</v>
      </c>
      <c r="H9" s="48">
        <f t="shared" si="4"/>
        <v>24</v>
      </c>
      <c r="I9" s="3" t="s">
        <v>143</v>
      </c>
      <c r="J9" s="48">
        <f t="shared" si="5"/>
        <v>24</v>
      </c>
      <c r="K9" s="3" t="s">
        <v>144</v>
      </c>
      <c r="L9" s="48">
        <f t="shared" si="6"/>
        <v>24</v>
      </c>
      <c r="M9" s="3" t="s">
        <v>145</v>
      </c>
      <c r="N9" s="48" t="str">
        <f t="shared" si="7"/>
        <v/>
      </c>
      <c r="O9" s="3"/>
      <c r="P9" s="48" t="str">
        <f t="shared" si="8"/>
        <v/>
      </c>
      <c r="Q9" s="3"/>
      <c r="R9" s="48" t="str">
        <f t="shared" si="9"/>
        <v/>
      </c>
      <c r="S9" s="3"/>
      <c r="T9" s="48" t="str">
        <f t="shared" si="10"/>
        <v/>
      </c>
      <c r="U9" s="3"/>
      <c r="V9" s="48" t="str">
        <f t="shared" si="11"/>
        <v/>
      </c>
      <c r="W9" s="3"/>
      <c r="X9" s="48" t="str">
        <f t="shared" si="12"/>
        <v/>
      </c>
      <c r="Y9" s="3"/>
      <c r="Z9" s="48" t="str">
        <f t="shared" si="13"/>
        <v/>
      </c>
      <c r="AA9" s="3"/>
      <c r="AB9" s="48" t="str">
        <f t="shared" si="14"/>
        <v/>
      </c>
      <c r="AC9" s="3"/>
      <c r="AD9" s="48" t="str">
        <f t="shared" si="15"/>
        <v/>
      </c>
      <c r="AE9" s="3"/>
      <c r="AF9" s="48" t="str">
        <f t="shared" si="16"/>
        <v/>
      </c>
      <c r="AG9" s="3"/>
      <c r="AH9" s="48" t="str">
        <f t="shared" si="17"/>
        <v/>
      </c>
      <c r="AI9" s="3"/>
      <c r="AJ9" s="48" t="str">
        <f t="shared" si="18"/>
        <v/>
      </c>
      <c r="AK9" s="3"/>
      <c r="AL9" s="48" t="str">
        <f t="shared" si="19"/>
        <v/>
      </c>
      <c r="AM9" s="3"/>
      <c r="AN9" s="48" t="str">
        <f t="shared" si="20"/>
        <v/>
      </c>
      <c r="AO9" s="3"/>
      <c r="AP9" s="48" t="str">
        <f t="shared" si="21"/>
        <v/>
      </c>
      <c r="AQ9" s="3"/>
      <c r="AR9" s="48" t="str">
        <f t="shared" si="22"/>
        <v/>
      </c>
      <c r="AS9" s="3"/>
      <c r="AT9" s="48" t="str">
        <f t="shared" si="23"/>
        <v/>
      </c>
      <c r="AU9" s="3"/>
      <c r="AV9" s="48" t="str">
        <f t="shared" si="24"/>
        <v/>
      </c>
      <c r="AW9" s="3"/>
      <c r="AX9" s="48" t="str">
        <f t="shared" si="25"/>
        <v/>
      </c>
      <c r="AY9" s="3"/>
      <c r="AZ9" s="48" t="str">
        <f t="shared" si="26"/>
        <v/>
      </c>
      <c r="BA9" s="3"/>
      <c r="BB9" s="48" t="str">
        <f t="shared" si="27"/>
        <v/>
      </c>
      <c r="BC9" s="3"/>
      <c r="BD9" s="48" t="str">
        <f t="shared" si="28"/>
        <v/>
      </c>
      <c r="BE9" s="3"/>
      <c r="BF9" s="48" t="str">
        <f t="shared" si="29"/>
        <v/>
      </c>
      <c r="BG9" s="3"/>
      <c r="BH9" s="48" t="str">
        <f t="shared" si="30"/>
        <v/>
      </c>
      <c r="BI9" s="3"/>
      <c r="BJ9" s="48" t="str">
        <f t="shared" si="31"/>
        <v/>
      </c>
      <c r="BK9" s="3"/>
      <c r="BL9" s="48" t="str">
        <f t="shared" si="32"/>
        <v/>
      </c>
      <c r="BM9" s="3"/>
      <c r="BN9" s="48" t="str">
        <f t="shared" si="33"/>
        <v/>
      </c>
      <c r="BO9" s="3"/>
      <c r="BP9" s="48" t="str">
        <f t="shared" si="34"/>
        <v/>
      </c>
      <c r="BQ9" s="3"/>
      <c r="BR9" s="48" t="str">
        <f t="shared" si="35"/>
        <v/>
      </c>
      <c r="BS9" s="3"/>
      <c r="BT9" s="48" t="str">
        <f t="shared" si="36"/>
        <v/>
      </c>
      <c r="BU9" s="3"/>
      <c r="BV9" s="48" t="str">
        <f t="shared" si="37"/>
        <v/>
      </c>
      <c r="BW9" s="3"/>
      <c r="BX9" s="48" t="str">
        <f t="shared" si="38"/>
        <v/>
      </c>
      <c r="BY9" s="3"/>
      <c r="BZ9" s="48" t="str">
        <f t="shared" si="39"/>
        <v/>
      </c>
      <c r="CA9" s="3"/>
      <c r="CB9" s="48" t="str">
        <f t="shared" si="40"/>
        <v/>
      </c>
      <c r="CC9" s="3"/>
      <c r="CD9" s="48" t="str">
        <f t="shared" si="41"/>
        <v/>
      </c>
      <c r="CE9" s="3"/>
      <c r="CF9" s="48" t="str">
        <f t="shared" si="42"/>
        <v/>
      </c>
      <c r="CG9" s="3"/>
      <c r="CH9" s="48" t="str">
        <f t="shared" si="43"/>
        <v/>
      </c>
      <c r="CI9" s="3"/>
      <c r="CJ9" s="48" t="str">
        <f t="shared" si="44"/>
        <v/>
      </c>
      <c r="CK9" s="3"/>
      <c r="CL9" s="48" t="str">
        <f t="shared" si="45"/>
        <v/>
      </c>
      <c r="CM9" s="3"/>
      <c r="CN9" s="48" t="str">
        <f t="shared" si="46"/>
        <v/>
      </c>
      <c r="CO9" s="3"/>
      <c r="CP9" s="48" t="str">
        <f t="shared" si="47"/>
        <v/>
      </c>
      <c r="CQ9" s="3"/>
      <c r="CR9" s="48" t="str">
        <f t="shared" si="48"/>
        <v/>
      </c>
      <c r="CS9" s="3"/>
      <c r="CT9" s="48" t="str">
        <f t="shared" si="49"/>
        <v/>
      </c>
      <c r="CU9" s="3"/>
      <c r="CV9" s="48" t="str">
        <f t="shared" si="50"/>
        <v/>
      </c>
      <c r="CW9" s="3"/>
      <c r="CX9" s="48" t="str">
        <f t="shared" si="51"/>
        <v/>
      </c>
      <c r="CY9" s="3"/>
      <c r="CZ9" s="48" t="str">
        <f t="shared" si="52"/>
        <v/>
      </c>
      <c r="DA9" s="3"/>
      <c r="DB9" s="48" t="str">
        <f t="shared" si="53"/>
        <v/>
      </c>
      <c r="DC9" s="3"/>
      <c r="DD9" s="48" t="str">
        <f t="shared" si="54"/>
        <v/>
      </c>
      <c r="DE9" s="3"/>
      <c r="DF9" s="48" t="str">
        <f t="shared" si="55"/>
        <v/>
      </c>
      <c r="DG9" s="3"/>
      <c r="DH9" s="48" t="str">
        <f t="shared" si="56"/>
        <v/>
      </c>
      <c r="DI9" s="3"/>
      <c r="DJ9" s="48" t="str">
        <f t="shared" si="57"/>
        <v/>
      </c>
      <c r="DK9" s="3"/>
      <c r="DL9" s="48" t="str">
        <f t="shared" si="58"/>
        <v/>
      </c>
      <c r="DM9" s="3"/>
      <c r="DN9" s="48" t="str">
        <f t="shared" si="59"/>
        <v/>
      </c>
      <c r="DO9" s="3"/>
      <c r="DP9" s="48" t="str">
        <f t="shared" si="60"/>
        <v/>
      </c>
    </row>
    <row r="10" ht="15.75" customHeight="1">
      <c r="A10" s="47" t="s">
        <v>146</v>
      </c>
      <c r="B10" s="48">
        <f t="shared" si="1"/>
        <v>25</v>
      </c>
      <c r="C10" s="3" t="s">
        <v>147</v>
      </c>
      <c r="D10" s="48">
        <f t="shared" si="2"/>
        <v>26</v>
      </c>
      <c r="E10" s="3" t="s">
        <v>148</v>
      </c>
      <c r="F10" s="48">
        <f t="shared" si="3"/>
        <v>27</v>
      </c>
      <c r="G10" s="3" t="s">
        <v>149</v>
      </c>
      <c r="H10" s="48">
        <f t="shared" si="4"/>
        <v>25</v>
      </c>
      <c r="I10" s="3" t="s">
        <v>150</v>
      </c>
      <c r="J10" s="48">
        <f t="shared" si="5"/>
        <v>25</v>
      </c>
      <c r="K10" s="3" t="s">
        <v>151</v>
      </c>
      <c r="L10" s="48">
        <f t="shared" si="6"/>
        <v>26</v>
      </c>
      <c r="M10" s="3" t="s">
        <v>152</v>
      </c>
      <c r="N10" s="48" t="str">
        <f t="shared" si="7"/>
        <v/>
      </c>
      <c r="O10" s="3"/>
      <c r="P10" s="48" t="str">
        <f t="shared" si="8"/>
        <v/>
      </c>
      <c r="Q10" s="3"/>
      <c r="R10" s="48" t="str">
        <f t="shared" si="9"/>
        <v/>
      </c>
      <c r="S10" s="3"/>
      <c r="T10" s="48" t="str">
        <f t="shared" si="10"/>
        <v/>
      </c>
      <c r="U10" s="3"/>
      <c r="V10" s="48" t="str">
        <f t="shared" si="11"/>
        <v/>
      </c>
      <c r="W10" s="3"/>
      <c r="X10" s="48" t="str">
        <f t="shared" si="12"/>
        <v/>
      </c>
      <c r="Y10" s="3"/>
      <c r="Z10" s="48" t="str">
        <f t="shared" si="13"/>
        <v/>
      </c>
      <c r="AA10" s="3"/>
      <c r="AB10" s="48" t="str">
        <f t="shared" si="14"/>
        <v/>
      </c>
      <c r="AC10" s="3"/>
      <c r="AD10" s="48" t="str">
        <f t="shared" si="15"/>
        <v/>
      </c>
      <c r="AE10" s="3"/>
      <c r="AF10" s="48" t="str">
        <f t="shared" si="16"/>
        <v/>
      </c>
      <c r="AG10" s="3"/>
      <c r="AH10" s="48" t="str">
        <f t="shared" si="17"/>
        <v/>
      </c>
      <c r="AI10" s="3"/>
      <c r="AJ10" s="48" t="str">
        <f t="shared" si="18"/>
        <v/>
      </c>
      <c r="AK10" s="3"/>
      <c r="AL10" s="48" t="str">
        <f t="shared" si="19"/>
        <v/>
      </c>
      <c r="AM10" s="3"/>
      <c r="AN10" s="48" t="str">
        <f t="shared" si="20"/>
        <v/>
      </c>
      <c r="AO10" s="3"/>
      <c r="AP10" s="48" t="str">
        <f t="shared" si="21"/>
        <v/>
      </c>
      <c r="AQ10" s="3"/>
      <c r="AR10" s="48" t="str">
        <f t="shared" si="22"/>
        <v/>
      </c>
      <c r="AS10" s="3"/>
      <c r="AT10" s="48" t="str">
        <f t="shared" si="23"/>
        <v/>
      </c>
      <c r="AU10" s="3"/>
      <c r="AV10" s="48" t="str">
        <f t="shared" si="24"/>
        <v/>
      </c>
      <c r="AW10" s="3"/>
      <c r="AX10" s="48" t="str">
        <f t="shared" si="25"/>
        <v/>
      </c>
      <c r="AY10" s="3"/>
      <c r="AZ10" s="48" t="str">
        <f t="shared" si="26"/>
        <v/>
      </c>
      <c r="BA10" s="3"/>
      <c r="BB10" s="48" t="str">
        <f t="shared" si="27"/>
        <v/>
      </c>
      <c r="BC10" s="3"/>
      <c r="BD10" s="48" t="str">
        <f t="shared" si="28"/>
        <v/>
      </c>
      <c r="BE10" s="3"/>
      <c r="BF10" s="48" t="str">
        <f t="shared" si="29"/>
        <v/>
      </c>
      <c r="BG10" s="3"/>
      <c r="BH10" s="48" t="str">
        <f t="shared" si="30"/>
        <v/>
      </c>
      <c r="BI10" s="3"/>
      <c r="BJ10" s="48" t="str">
        <f t="shared" si="31"/>
        <v/>
      </c>
      <c r="BK10" s="3"/>
      <c r="BL10" s="48" t="str">
        <f t="shared" si="32"/>
        <v/>
      </c>
      <c r="BM10" s="3"/>
      <c r="BN10" s="48" t="str">
        <f t="shared" si="33"/>
        <v/>
      </c>
      <c r="BO10" s="3"/>
      <c r="BP10" s="48" t="str">
        <f t="shared" si="34"/>
        <v/>
      </c>
      <c r="BQ10" s="3"/>
      <c r="BR10" s="48" t="str">
        <f t="shared" si="35"/>
        <v/>
      </c>
      <c r="BS10" s="3"/>
      <c r="BT10" s="48" t="str">
        <f t="shared" si="36"/>
        <v/>
      </c>
      <c r="BU10" s="3"/>
      <c r="BV10" s="48" t="str">
        <f t="shared" si="37"/>
        <v/>
      </c>
      <c r="BW10" s="3"/>
      <c r="BX10" s="48" t="str">
        <f t="shared" si="38"/>
        <v/>
      </c>
      <c r="BY10" s="3"/>
      <c r="BZ10" s="48" t="str">
        <f t="shared" si="39"/>
        <v/>
      </c>
      <c r="CA10" s="3"/>
      <c r="CB10" s="48" t="str">
        <f t="shared" si="40"/>
        <v/>
      </c>
      <c r="CC10" s="3"/>
      <c r="CD10" s="48" t="str">
        <f t="shared" si="41"/>
        <v/>
      </c>
      <c r="CE10" s="3"/>
      <c r="CF10" s="48" t="str">
        <f t="shared" si="42"/>
        <v/>
      </c>
      <c r="CG10" s="3"/>
      <c r="CH10" s="48" t="str">
        <f t="shared" si="43"/>
        <v/>
      </c>
      <c r="CI10" s="3"/>
      <c r="CJ10" s="48" t="str">
        <f t="shared" si="44"/>
        <v/>
      </c>
      <c r="CK10" s="3"/>
      <c r="CL10" s="48" t="str">
        <f t="shared" si="45"/>
        <v/>
      </c>
      <c r="CM10" s="3"/>
      <c r="CN10" s="48" t="str">
        <f t="shared" si="46"/>
        <v/>
      </c>
      <c r="CO10" s="3"/>
      <c r="CP10" s="48" t="str">
        <f t="shared" si="47"/>
        <v/>
      </c>
      <c r="CQ10" s="3"/>
      <c r="CR10" s="48" t="str">
        <f t="shared" si="48"/>
        <v/>
      </c>
      <c r="CS10" s="3"/>
      <c r="CT10" s="48" t="str">
        <f t="shared" si="49"/>
        <v/>
      </c>
      <c r="CU10" s="3"/>
      <c r="CV10" s="48" t="str">
        <f t="shared" si="50"/>
        <v/>
      </c>
      <c r="CW10" s="3"/>
      <c r="CX10" s="48" t="str">
        <f t="shared" si="51"/>
        <v/>
      </c>
      <c r="CY10" s="3"/>
      <c r="CZ10" s="48" t="str">
        <f t="shared" si="52"/>
        <v/>
      </c>
      <c r="DA10" s="3"/>
      <c r="DB10" s="48" t="str">
        <f t="shared" si="53"/>
        <v/>
      </c>
      <c r="DC10" s="3"/>
      <c r="DD10" s="48" t="str">
        <f t="shared" si="54"/>
        <v/>
      </c>
      <c r="DE10" s="3"/>
      <c r="DF10" s="48" t="str">
        <f t="shared" si="55"/>
        <v/>
      </c>
      <c r="DG10" s="3"/>
      <c r="DH10" s="48" t="str">
        <f t="shared" si="56"/>
        <v/>
      </c>
      <c r="DI10" s="3"/>
      <c r="DJ10" s="48" t="str">
        <f t="shared" si="57"/>
        <v/>
      </c>
      <c r="DK10" s="3"/>
      <c r="DL10" s="48" t="str">
        <f t="shared" si="58"/>
        <v/>
      </c>
      <c r="DM10" s="3"/>
      <c r="DN10" s="48" t="str">
        <f t="shared" si="59"/>
        <v/>
      </c>
      <c r="DO10" s="3"/>
      <c r="DP10" s="48" t="str">
        <f t="shared" si="60"/>
        <v/>
      </c>
    </row>
    <row r="11" ht="15.75" customHeight="1">
      <c r="A11" s="47" t="s">
        <v>153</v>
      </c>
      <c r="B11" s="48">
        <f t="shared" si="1"/>
        <v>21</v>
      </c>
      <c r="C11" s="3" t="s">
        <v>154</v>
      </c>
      <c r="D11" s="48">
        <f t="shared" si="2"/>
        <v>24</v>
      </c>
      <c r="E11" s="3" t="s">
        <v>155</v>
      </c>
      <c r="F11" s="48">
        <f t="shared" si="3"/>
        <v>26</v>
      </c>
      <c r="G11" s="3" t="s">
        <v>156</v>
      </c>
      <c r="H11" s="48">
        <f t="shared" si="4"/>
        <v>19</v>
      </c>
      <c r="I11" s="3" t="s">
        <v>157</v>
      </c>
      <c r="J11" s="48">
        <f t="shared" si="5"/>
        <v>24</v>
      </c>
      <c r="K11" s="3" t="s">
        <v>158</v>
      </c>
      <c r="L11" s="48">
        <f t="shared" si="6"/>
        <v>20</v>
      </c>
      <c r="M11" s="3" t="s">
        <v>159</v>
      </c>
      <c r="N11" s="48" t="str">
        <f t="shared" si="7"/>
        <v/>
      </c>
      <c r="O11" s="3"/>
      <c r="P11" s="48" t="str">
        <f t="shared" si="8"/>
        <v/>
      </c>
      <c r="Q11" s="3"/>
      <c r="R11" s="48" t="str">
        <f t="shared" si="9"/>
        <v/>
      </c>
      <c r="S11" s="3"/>
      <c r="T11" s="48" t="str">
        <f t="shared" si="10"/>
        <v/>
      </c>
      <c r="U11" s="3"/>
      <c r="V11" s="48" t="str">
        <f t="shared" si="11"/>
        <v/>
      </c>
      <c r="W11" s="3"/>
      <c r="X11" s="48" t="str">
        <f t="shared" si="12"/>
        <v/>
      </c>
      <c r="Y11" s="3"/>
      <c r="Z11" s="48" t="str">
        <f t="shared" si="13"/>
        <v/>
      </c>
      <c r="AA11" s="3"/>
      <c r="AB11" s="48" t="str">
        <f t="shared" si="14"/>
        <v/>
      </c>
      <c r="AC11" s="3"/>
      <c r="AD11" s="48" t="str">
        <f t="shared" si="15"/>
        <v/>
      </c>
      <c r="AE11" s="3"/>
      <c r="AF11" s="48" t="str">
        <f t="shared" si="16"/>
        <v/>
      </c>
      <c r="AG11" s="3"/>
      <c r="AH11" s="48" t="str">
        <f t="shared" si="17"/>
        <v/>
      </c>
      <c r="AI11" s="3"/>
      <c r="AJ11" s="48" t="str">
        <f t="shared" si="18"/>
        <v/>
      </c>
      <c r="AK11" s="3"/>
      <c r="AL11" s="48" t="str">
        <f t="shared" si="19"/>
        <v/>
      </c>
      <c r="AM11" s="3"/>
      <c r="AN11" s="48" t="str">
        <f t="shared" si="20"/>
        <v/>
      </c>
      <c r="AO11" s="3"/>
      <c r="AP11" s="48" t="str">
        <f t="shared" si="21"/>
        <v/>
      </c>
      <c r="AQ11" s="3"/>
      <c r="AR11" s="48" t="str">
        <f t="shared" si="22"/>
        <v/>
      </c>
      <c r="AS11" s="3"/>
      <c r="AT11" s="48" t="str">
        <f t="shared" si="23"/>
        <v/>
      </c>
      <c r="AU11" s="3"/>
      <c r="AV11" s="48" t="str">
        <f t="shared" si="24"/>
        <v/>
      </c>
      <c r="AW11" s="3"/>
      <c r="AX11" s="48" t="str">
        <f t="shared" si="25"/>
        <v/>
      </c>
      <c r="AY11" s="3"/>
      <c r="AZ11" s="48" t="str">
        <f t="shared" si="26"/>
        <v/>
      </c>
      <c r="BA11" s="3"/>
      <c r="BB11" s="48" t="str">
        <f t="shared" si="27"/>
        <v/>
      </c>
      <c r="BC11" s="3"/>
      <c r="BD11" s="48" t="str">
        <f t="shared" si="28"/>
        <v/>
      </c>
      <c r="BE11" s="3"/>
      <c r="BF11" s="48" t="str">
        <f t="shared" si="29"/>
        <v/>
      </c>
      <c r="BG11" s="3"/>
      <c r="BH11" s="48" t="str">
        <f t="shared" si="30"/>
        <v/>
      </c>
      <c r="BI11" s="3"/>
      <c r="BJ11" s="48" t="str">
        <f t="shared" si="31"/>
        <v/>
      </c>
      <c r="BK11" s="3"/>
      <c r="BL11" s="48" t="str">
        <f t="shared" si="32"/>
        <v/>
      </c>
      <c r="BM11" s="3"/>
      <c r="BN11" s="48" t="str">
        <f t="shared" si="33"/>
        <v/>
      </c>
      <c r="BO11" s="3"/>
      <c r="BP11" s="48" t="str">
        <f t="shared" si="34"/>
        <v/>
      </c>
      <c r="BQ11" s="3"/>
      <c r="BR11" s="48" t="str">
        <f t="shared" si="35"/>
        <v/>
      </c>
      <c r="BS11" s="3"/>
      <c r="BT11" s="48" t="str">
        <f t="shared" si="36"/>
        <v/>
      </c>
      <c r="BU11" s="3"/>
      <c r="BV11" s="48" t="str">
        <f t="shared" si="37"/>
        <v/>
      </c>
      <c r="BW11" s="3"/>
      <c r="BX11" s="48" t="str">
        <f t="shared" si="38"/>
        <v/>
      </c>
      <c r="BY11" s="3"/>
      <c r="BZ11" s="48" t="str">
        <f t="shared" si="39"/>
        <v/>
      </c>
      <c r="CA11" s="3"/>
      <c r="CB11" s="48" t="str">
        <f t="shared" si="40"/>
        <v/>
      </c>
      <c r="CC11" s="3"/>
      <c r="CD11" s="48" t="str">
        <f t="shared" si="41"/>
        <v/>
      </c>
      <c r="CE11" s="3"/>
      <c r="CF11" s="48" t="str">
        <f t="shared" si="42"/>
        <v/>
      </c>
      <c r="CG11" s="3"/>
      <c r="CH11" s="48" t="str">
        <f t="shared" si="43"/>
        <v/>
      </c>
      <c r="CI11" s="3"/>
      <c r="CJ11" s="48" t="str">
        <f t="shared" si="44"/>
        <v/>
      </c>
      <c r="CK11" s="3"/>
      <c r="CL11" s="48" t="str">
        <f t="shared" si="45"/>
        <v/>
      </c>
      <c r="CM11" s="3"/>
      <c r="CN11" s="48" t="str">
        <f t="shared" si="46"/>
        <v/>
      </c>
      <c r="CO11" s="3"/>
      <c r="CP11" s="48" t="str">
        <f t="shared" si="47"/>
        <v/>
      </c>
      <c r="CQ11" s="3"/>
      <c r="CR11" s="48" t="str">
        <f t="shared" si="48"/>
        <v/>
      </c>
      <c r="CS11" s="3"/>
      <c r="CT11" s="48" t="str">
        <f t="shared" si="49"/>
        <v/>
      </c>
      <c r="CU11" s="3"/>
      <c r="CV11" s="48" t="str">
        <f t="shared" si="50"/>
        <v/>
      </c>
      <c r="CW11" s="3"/>
      <c r="CX11" s="48" t="str">
        <f t="shared" si="51"/>
        <v/>
      </c>
      <c r="CY11" s="3"/>
      <c r="CZ11" s="48" t="str">
        <f t="shared" si="52"/>
        <v/>
      </c>
      <c r="DA11" s="3"/>
      <c r="DB11" s="48" t="str">
        <f t="shared" si="53"/>
        <v/>
      </c>
      <c r="DC11" s="3"/>
      <c r="DD11" s="48" t="str">
        <f t="shared" si="54"/>
        <v/>
      </c>
      <c r="DE11" s="3"/>
      <c r="DF11" s="48" t="str">
        <f t="shared" si="55"/>
        <v/>
      </c>
      <c r="DG11" s="3"/>
      <c r="DH11" s="48" t="str">
        <f t="shared" si="56"/>
        <v/>
      </c>
      <c r="DI11" s="3"/>
      <c r="DJ11" s="48" t="str">
        <f t="shared" si="57"/>
        <v/>
      </c>
      <c r="DK11" s="3"/>
      <c r="DL11" s="48" t="str">
        <f t="shared" si="58"/>
        <v/>
      </c>
      <c r="DM11" s="3"/>
      <c r="DN11" s="48" t="str">
        <f t="shared" si="59"/>
        <v/>
      </c>
      <c r="DO11" s="3"/>
      <c r="DP11" s="48" t="str">
        <f t="shared" si="60"/>
        <v/>
      </c>
    </row>
    <row r="12" ht="15.75" customHeight="1">
      <c r="A12" s="47" t="s">
        <v>160</v>
      </c>
      <c r="B12" s="48">
        <f t="shared" si="1"/>
        <v>23</v>
      </c>
      <c r="C12" s="3" t="s">
        <v>161</v>
      </c>
      <c r="D12" s="48">
        <f t="shared" si="2"/>
        <v>25</v>
      </c>
      <c r="E12" s="3" t="s">
        <v>162</v>
      </c>
      <c r="F12" s="48">
        <f t="shared" si="3"/>
        <v>25</v>
      </c>
      <c r="G12" s="3" t="s">
        <v>163</v>
      </c>
      <c r="H12" s="48">
        <f t="shared" si="4"/>
        <v>20</v>
      </c>
      <c r="I12" s="3" t="s">
        <v>164</v>
      </c>
      <c r="J12" s="48">
        <f t="shared" si="5"/>
        <v>24</v>
      </c>
      <c r="K12" s="3" t="s">
        <v>165</v>
      </c>
      <c r="L12" s="48">
        <f t="shared" si="6"/>
        <v>24</v>
      </c>
      <c r="M12" s="3" t="s">
        <v>166</v>
      </c>
      <c r="N12" s="48" t="str">
        <f t="shared" si="7"/>
        <v/>
      </c>
      <c r="O12" s="3"/>
      <c r="P12" s="48" t="str">
        <f t="shared" si="8"/>
        <v/>
      </c>
      <c r="Q12" s="3"/>
      <c r="R12" s="48" t="str">
        <f t="shared" si="9"/>
        <v/>
      </c>
      <c r="S12" s="3"/>
      <c r="T12" s="48" t="str">
        <f t="shared" si="10"/>
        <v/>
      </c>
      <c r="U12" s="3"/>
      <c r="V12" s="48" t="str">
        <f t="shared" si="11"/>
        <v/>
      </c>
      <c r="W12" s="3"/>
      <c r="X12" s="48" t="str">
        <f t="shared" si="12"/>
        <v/>
      </c>
      <c r="Y12" s="3"/>
      <c r="Z12" s="48" t="str">
        <f t="shared" si="13"/>
        <v/>
      </c>
      <c r="AA12" s="3"/>
      <c r="AB12" s="48" t="str">
        <f t="shared" si="14"/>
        <v/>
      </c>
      <c r="AC12" s="3"/>
      <c r="AD12" s="48" t="str">
        <f t="shared" si="15"/>
        <v/>
      </c>
      <c r="AE12" s="3"/>
      <c r="AF12" s="48" t="str">
        <f t="shared" si="16"/>
        <v/>
      </c>
      <c r="AG12" s="3"/>
      <c r="AH12" s="48" t="str">
        <f t="shared" si="17"/>
        <v/>
      </c>
      <c r="AI12" s="3"/>
      <c r="AJ12" s="48" t="str">
        <f t="shared" si="18"/>
        <v/>
      </c>
      <c r="AK12" s="3"/>
      <c r="AL12" s="48" t="str">
        <f t="shared" si="19"/>
        <v/>
      </c>
      <c r="AM12" s="3"/>
      <c r="AN12" s="48" t="str">
        <f t="shared" si="20"/>
        <v/>
      </c>
      <c r="AO12" s="3"/>
      <c r="AP12" s="48" t="str">
        <f t="shared" si="21"/>
        <v/>
      </c>
      <c r="AQ12" s="3"/>
      <c r="AR12" s="48" t="str">
        <f t="shared" si="22"/>
        <v/>
      </c>
      <c r="AS12" s="3"/>
      <c r="AT12" s="48" t="str">
        <f t="shared" si="23"/>
        <v/>
      </c>
      <c r="AU12" s="3"/>
      <c r="AV12" s="48" t="str">
        <f t="shared" si="24"/>
        <v/>
      </c>
      <c r="AW12" s="3"/>
      <c r="AX12" s="48" t="str">
        <f t="shared" si="25"/>
        <v/>
      </c>
      <c r="AY12" s="3"/>
      <c r="AZ12" s="48" t="str">
        <f t="shared" si="26"/>
        <v/>
      </c>
      <c r="BA12" s="3"/>
      <c r="BB12" s="48" t="str">
        <f t="shared" si="27"/>
        <v/>
      </c>
      <c r="BC12" s="3"/>
      <c r="BD12" s="48" t="str">
        <f t="shared" si="28"/>
        <v/>
      </c>
      <c r="BE12" s="3"/>
      <c r="BF12" s="48" t="str">
        <f t="shared" si="29"/>
        <v/>
      </c>
      <c r="BG12" s="3"/>
      <c r="BH12" s="48" t="str">
        <f t="shared" si="30"/>
        <v/>
      </c>
      <c r="BI12" s="3"/>
      <c r="BJ12" s="48" t="str">
        <f t="shared" si="31"/>
        <v/>
      </c>
      <c r="BK12" s="3"/>
      <c r="BL12" s="48" t="str">
        <f t="shared" si="32"/>
        <v/>
      </c>
      <c r="BM12" s="3"/>
      <c r="BN12" s="48" t="str">
        <f t="shared" si="33"/>
        <v/>
      </c>
      <c r="BO12" s="3"/>
      <c r="BP12" s="48" t="str">
        <f t="shared" si="34"/>
        <v/>
      </c>
      <c r="BQ12" s="3"/>
      <c r="BR12" s="48" t="str">
        <f t="shared" si="35"/>
        <v/>
      </c>
      <c r="BS12" s="3"/>
      <c r="BT12" s="48" t="str">
        <f t="shared" si="36"/>
        <v/>
      </c>
      <c r="BU12" s="3"/>
      <c r="BV12" s="48" t="str">
        <f t="shared" si="37"/>
        <v/>
      </c>
      <c r="BW12" s="3"/>
      <c r="BX12" s="48" t="str">
        <f t="shared" si="38"/>
        <v/>
      </c>
      <c r="BY12" s="3"/>
      <c r="BZ12" s="48" t="str">
        <f t="shared" si="39"/>
        <v/>
      </c>
      <c r="CA12" s="3"/>
      <c r="CB12" s="48" t="str">
        <f t="shared" si="40"/>
        <v/>
      </c>
      <c r="CC12" s="3"/>
      <c r="CD12" s="48" t="str">
        <f t="shared" si="41"/>
        <v/>
      </c>
      <c r="CE12" s="3"/>
      <c r="CF12" s="48" t="str">
        <f t="shared" si="42"/>
        <v/>
      </c>
      <c r="CG12" s="3"/>
      <c r="CH12" s="48" t="str">
        <f t="shared" si="43"/>
        <v/>
      </c>
      <c r="CI12" s="3"/>
      <c r="CJ12" s="48" t="str">
        <f t="shared" si="44"/>
        <v/>
      </c>
      <c r="CK12" s="3"/>
      <c r="CL12" s="48" t="str">
        <f t="shared" si="45"/>
        <v/>
      </c>
      <c r="CM12" s="3"/>
      <c r="CN12" s="48" t="str">
        <f t="shared" si="46"/>
        <v/>
      </c>
      <c r="CO12" s="3"/>
      <c r="CP12" s="48" t="str">
        <f t="shared" si="47"/>
        <v/>
      </c>
      <c r="CQ12" s="3"/>
      <c r="CR12" s="48" t="str">
        <f t="shared" si="48"/>
        <v/>
      </c>
      <c r="CS12" s="3"/>
      <c r="CT12" s="48" t="str">
        <f t="shared" si="49"/>
        <v/>
      </c>
      <c r="CU12" s="3"/>
      <c r="CV12" s="48" t="str">
        <f t="shared" si="50"/>
        <v/>
      </c>
      <c r="CW12" s="3"/>
      <c r="CX12" s="48" t="str">
        <f t="shared" si="51"/>
        <v/>
      </c>
      <c r="CY12" s="3"/>
      <c r="CZ12" s="48" t="str">
        <f t="shared" si="52"/>
        <v/>
      </c>
      <c r="DA12" s="3"/>
      <c r="DB12" s="48" t="str">
        <f t="shared" si="53"/>
        <v/>
      </c>
      <c r="DC12" s="3"/>
      <c r="DD12" s="48" t="str">
        <f t="shared" si="54"/>
        <v/>
      </c>
      <c r="DE12" s="3"/>
      <c r="DF12" s="48" t="str">
        <f t="shared" si="55"/>
        <v/>
      </c>
      <c r="DG12" s="3"/>
      <c r="DH12" s="48" t="str">
        <f t="shared" si="56"/>
        <v/>
      </c>
      <c r="DI12" s="3"/>
      <c r="DJ12" s="48" t="str">
        <f t="shared" si="57"/>
        <v/>
      </c>
      <c r="DK12" s="3"/>
      <c r="DL12" s="48" t="str">
        <f t="shared" si="58"/>
        <v/>
      </c>
      <c r="DM12" s="3"/>
      <c r="DN12" s="48" t="str">
        <f t="shared" si="59"/>
        <v/>
      </c>
      <c r="DO12" s="3"/>
      <c r="DP12" s="48" t="str">
        <f t="shared" si="60"/>
        <v/>
      </c>
    </row>
    <row r="13" ht="15.75" customHeight="1">
      <c r="A13" s="47" t="s">
        <v>167</v>
      </c>
      <c r="B13" s="48">
        <f t="shared" si="1"/>
        <v>86</v>
      </c>
      <c r="C13" s="49" t="s">
        <v>168</v>
      </c>
      <c r="D13" s="48">
        <f t="shared" si="2"/>
        <v>84</v>
      </c>
      <c r="E13" s="50" t="s">
        <v>169</v>
      </c>
      <c r="F13" s="48">
        <f t="shared" si="3"/>
        <v>90</v>
      </c>
      <c r="G13" s="3" t="s">
        <v>170</v>
      </c>
      <c r="H13" s="48">
        <f t="shared" si="4"/>
        <v>90</v>
      </c>
      <c r="I13" s="3" t="s">
        <v>171</v>
      </c>
      <c r="J13" s="48">
        <f t="shared" si="5"/>
        <v>87</v>
      </c>
      <c r="K13" s="3" t="s">
        <v>172</v>
      </c>
      <c r="L13" s="48">
        <f t="shared" si="6"/>
        <v>90</v>
      </c>
      <c r="M13" s="3" t="s">
        <v>173</v>
      </c>
      <c r="N13" s="48" t="str">
        <f t="shared" si="7"/>
        <v/>
      </c>
      <c r="O13" s="3"/>
      <c r="P13" s="48" t="str">
        <f t="shared" si="8"/>
        <v/>
      </c>
      <c r="Q13" s="3"/>
      <c r="R13" s="48" t="str">
        <f t="shared" si="9"/>
        <v/>
      </c>
      <c r="S13" s="3"/>
      <c r="T13" s="48" t="str">
        <f t="shared" si="10"/>
        <v/>
      </c>
      <c r="U13" s="3"/>
      <c r="V13" s="48" t="str">
        <f t="shared" si="11"/>
        <v/>
      </c>
      <c r="W13" s="3"/>
      <c r="X13" s="48" t="str">
        <f t="shared" si="12"/>
        <v/>
      </c>
      <c r="Y13" s="3"/>
      <c r="Z13" s="48" t="str">
        <f t="shared" si="13"/>
        <v/>
      </c>
      <c r="AA13" s="3"/>
      <c r="AB13" s="48" t="str">
        <f t="shared" si="14"/>
        <v/>
      </c>
      <c r="AC13" s="3"/>
      <c r="AD13" s="48" t="str">
        <f t="shared" si="15"/>
        <v/>
      </c>
      <c r="AE13" s="3"/>
      <c r="AF13" s="48" t="str">
        <f t="shared" si="16"/>
        <v/>
      </c>
      <c r="AG13" s="3"/>
      <c r="AH13" s="48" t="str">
        <f t="shared" si="17"/>
        <v/>
      </c>
      <c r="AI13" s="3"/>
      <c r="AJ13" s="48" t="str">
        <f t="shared" si="18"/>
        <v/>
      </c>
      <c r="AK13" s="3"/>
      <c r="AL13" s="48" t="str">
        <f t="shared" si="19"/>
        <v/>
      </c>
      <c r="AM13" s="3"/>
      <c r="AN13" s="48" t="str">
        <f t="shared" si="20"/>
        <v/>
      </c>
      <c r="AO13" s="3"/>
      <c r="AP13" s="48" t="str">
        <f t="shared" si="21"/>
        <v/>
      </c>
      <c r="AQ13" s="3"/>
      <c r="AR13" s="48" t="str">
        <f t="shared" si="22"/>
        <v/>
      </c>
      <c r="AS13" s="3"/>
      <c r="AT13" s="48" t="str">
        <f t="shared" si="23"/>
        <v/>
      </c>
      <c r="AU13" s="3"/>
      <c r="AV13" s="48" t="str">
        <f t="shared" si="24"/>
        <v/>
      </c>
      <c r="AW13" s="3"/>
      <c r="AX13" s="48" t="str">
        <f t="shared" si="25"/>
        <v/>
      </c>
      <c r="AY13" s="3"/>
      <c r="AZ13" s="48" t="str">
        <f t="shared" si="26"/>
        <v/>
      </c>
      <c r="BA13" s="3"/>
      <c r="BB13" s="48" t="str">
        <f t="shared" si="27"/>
        <v/>
      </c>
      <c r="BC13" s="3"/>
      <c r="BD13" s="48" t="str">
        <f t="shared" si="28"/>
        <v/>
      </c>
      <c r="BE13" s="3"/>
      <c r="BF13" s="48" t="str">
        <f t="shared" si="29"/>
        <v/>
      </c>
      <c r="BG13" s="3"/>
      <c r="BH13" s="48" t="str">
        <f t="shared" si="30"/>
        <v/>
      </c>
      <c r="BI13" s="3"/>
      <c r="BJ13" s="48" t="str">
        <f t="shared" si="31"/>
        <v/>
      </c>
      <c r="BK13" s="3"/>
      <c r="BL13" s="48" t="str">
        <f t="shared" si="32"/>
        <v/>
      </c>
      <c r="BM13" s="3"/>
      <c r="BN13" s="48" t="str">
        <f t="shared" si="33"/>
        <v/>
      </c>
      <c r="BO13" s="3"/>
      <c r="BP13" s="48" t="str">
        <f t="shared" si="34"/>
        <v/>
      </c>
      <c r="BQ13" s="3"/>
      <c r="BR13" s="48" t="str">
        <f t="shared" si="35"/>
        <v/>
      </c>
      <c r="BS13" s="3"/>
      <c r="BT13" s="48" t="str">
        <f t="shared" si="36"/>
        <v/>
      </c>
      <c r="BU13" s="3"/>
      <c r="BV13" s="48" t="str">
        <f t="shared" si="37"/>
        <v/>
      </c>
      <c r="BW13" s="3"/>
      <c r="BX13" s="48" t="str">
        <f t="shared" si="38"/>
        <v/>
      </c>
      <c r="BY13" s="3"/>
      <c r="BZ13" s="48" t="str">
        <f t="shared" si="39"/>
        <v/>
      </c>
      <c r="CA13" s="3"/>
      <c r="CB13" s="48" t="str">
        <f t="shared" si="40"/>
        <v/>
      </c>
      <c r="CC13" s="3"/>
      <c r="CD13" s="48" t="str">
        <f t="shared" si="41"/>
        <v/>
      </c>
      <c r="CE13" s="3"/>
      <c r="CF13" s="48" t="str">
        <f t="shared" si="42"/>
        <v/>
      </c>
      <c r="CG13" s="3"/>
      <c r="CH13" s="48" t="str">
        <f t="shared" si="43"/>
        <v/>
      </c>
      <c r="CI13" s="3"/>
      <c r="CJ13" s="48" t="str">
        <f t="shared" si="44"/>
        <v/>
      </c>
      <c r="CK13" s="3"/>
      <c r="CL13" s="48" t="str">
        <f t="shared" si="45"/>
        <v/>
      </c>
      <c r="CM13" s="3"/>
      <c r="CN13" s="48" t="str">
        <f t="shared" si="46"/>
        <v/>
      </c>
      <c r="CO13" s="3"/>
      <c r="CP13" s="48" t="str">
        <f t="shared" si="47"/>
        <v/>
      </c>
      <c r="CQ13" s="3"/>
      <c r="CR13" s="48" t="str">
        <f t="shared" si="48"/>
        <v/>
      </c>
      <c r="CS13" s="3"/>
      <c r="CT13" s="48" t="str">
        <f t="shared" si="49"/>
        <v/>
      </c>
      <c r="CU13" s="3"/>
      <c r="CV13" s="48" t="str">
        <f t="shared" si="50"/>
        <v/>
      </c>
      <c r="CW13" s="3"/>
      <c r="CX13" s="48" t="str">
        <f t="shared" si="51"/>
        <v/>
      </c>
      <c r="CY13" s="3"/>
      <c r="CZ13" s="48" t="str">
        <f t="shared" si="52"/>
        <v/>
      </c>
      <c r="DA13" s="3"/>
      <c r="DB13" s="48" t="str">
        <f t="shared" si="53"/>
        <v/>
      </c>
      <c r="DC13" s="3"/>
      <c r="DD13" s="48" t="str">
        <f t="shared" si="54"/>
        <v/>
      </c>
      <c r="DE13" s="3"/>
      <c r="DF13" s="48" t="str">
        <f t="shared" si="55"/>
        <v/>
      </c>
      <c r="DG13" s="3"/>
      <c r="DH13" s="48" t="str">
        <f t="shared" si="56"/>
        <v/>
      </c>
      <c r="DI13" s="3"/>
      <c r="DJ13" s="48" t="str">
        <f t="shared" si="57"/>
        <v/>
      </c>
      <c r="DK13" s="3"/>
      <c r="DL13" s="48" t="str">
        <f t="shared" si="58"/>
        <v/>
      </c>
      <c r="DM13" s="3"/>
      <c r="DN13" s="48" t="str">
        <f t="shared" si="59"/>
        <v/>
      </c>
      <c r="DO13" s="3"/>
      <c r="DP13" s="48" t="str">
        <f t="shared" si="60"/>
        <v/>
      </c>
    </row>
    <row r="14" ht="15.75" customHeight="1">
      <c r="A14" s="47" t="s">
        <v>174</v>
      </c>
      <c r="B14" s="48">
        <f t="shared" si="1"/>
        <v>83</v>
      </c>
      <c r="C14" s="49" t="s">
        <v>175</v>
      </c>
      <c r="D14" s="48">
        <f t="shared" si="2"/>
        <v>89</v>
      </c>
      <c r="E14" s="3" t="s">
        <v>176</v>
      </c>
      <c r="F14" s="48">
        <f t="shared" si="3"/>
        <v>89</v>
      </c>
      <c r="G14" s="50" t="s">
        <v>177</v>
      </c>
      <c r="H14" s="48">
        <f t="shared" si="4"/>
        <v>89</v>
      </c>
      <c r="I14" s="3" t="s">
        <v>178</v>
      </c>
      <c r="J14" s="48">
        <f t="shared" si="5"/>
        <v>80</v>
      </c>
      <c r="K14" s="3" t="s">
        <v>179</v>
      </c>
      <c r="L14" s="48">
        <f t="shared" si="6"/>
        <v>85</v>
      </c>
      <c r="M14" s="3" t="s">
        <v>180</v>
      </c>
      <c r="N14" s="48" t="str">
        <f t="shared" si="7"/>
        <v/>
      </c>
      <c r="O14" s="3"/>
      <c r="P14" s="48" t="str">
        <f t="shared" si="8"/>
        <v/>
      </c>
      <c r="Q14" s="3"/>
      <c r="R14" s="48" t="str">
        <f t="shared" si="9"/>
        <v/>
      </c>
      <c r="S14" s="3"/>
      <c r="T14" s="48" t="str">
        <f t="shared" si="10"/>
        <v/>
      </c>
      <c r="U14" s="3"/>
      <c r="V14" s="48" t="str">
        <f t="shared" si="11"/>
        <v/>
      </c>
      <c r="W14" s="3"/>
      <c r="X14" s="48" t="str">
        <f t="shared" si="12"/>
        <v/>
      </c>
      <c r="Y14" s="3"/>
      <c r="Z14" s="48" t="str">
        <f t="shared" si="13"/>
        <v/>
      </c>
      <c r="AA14" s="3"/>
      <c r="AB14" s="48" t="str">
        <f t="shared" si="14"/>
        <v/>
      </c>
      <c r="AC14" s="3"/>
      <c r="AD14" s="48" t="str">
        <f t="shared" si="15"/>
        <v/>
      </c>
      <c r="AE14" s="3"/>
      <c r="AF14" s="48" t="str">
        <f t="shared" si="16"/>
        <v/>
      </c>
      <c r="AG14" s="3"/>
      <c r="AH14" s="48" t="str">
        <f t="shared" si="17"/>
        <v/>
      </c>
      <c r="AI14" s="3"/>
      <c r="AJ14" s="48" t="str">
        <f t="shared" si="18"/>
        <v/>
      </c>
      <c r="AK14" s="3"/>
      <c r="AL14" s="48" t="str">
        <f t="shared" si="19"/>
        <v/>
      </c>
      <c r="AM14" s="3"/>
      <c r="AN14" s="48" t="str">
        <f t="shared" si="20"/>
        <v/>
      </c>
      <c r="AO14" s="3"/>
      <c r="AP14" s="48" t="str">
        <f t="shared" si="21"/>
        <v/>
      </c>
      <c r="AQ14" s="3"/>
      <c r="AR14" s="48" t="str">
        <f t="shared" si="22"/>
        <v/>
      </c>
      <c r="AS14" s="3"/>
      <c r="AT14" s="48" t="str">
        <f t="shared" si="23"/>
        <v/>
      </c>
      <c r="AU14" s="3"/>
      <c r="AV14" s="48" t="str">
        <f t="shared" si="24"/>
        <v/>
      </c>
      <c r="AW14" s="3"/>
      <c r="AX14" s="48" t="str">
        <f t="shared" si="25"/>
        <v/>
      </c>
      <c r="AY14" s="3"/>
      <c r="AZ14" s="48" t="str">
        <f t="shared" si="26"/>
        <v/>
      </c>
      <c r="BA14" s="3"/>
      <c r="BB14" s="48" t="str">
        <f t="shared" si="27"/>
        <v/>
      </c>
      <c r="BC14" s="3"/>
      <c r="BD14" s="48" t="str">
        <f t="shared" si="28"/>
        <v/>
      </c>
      <c r="BE14" s="3"/>
      <c r="BF14" s="48" t="str">
        <f t="shared" si="29"/>
        <v/>
      </c>
      <c r="BG14" s="3"/>
      <c r="BH14" s="48" t="str">
        <f t="shared" si="30"/>
        <v/>
      </c>
      <c r="BI14" s="3"/>
      <c r="BJ14" s="48" t="str">
        <f t="shared" si="31"/>
        <v/>
      </c>
      <c r="BK14" s="3"/>
      <c r="BL14" s="48" t="str">
        <f t="shared" si="32"/>
        <v/>
      </c>
      <c r="BM14" s="3"/>
      <c r="BN14" s="48" t="str">
        <f t="shared" si="33"/>
        <v/>
      </c>
      <c r="BO14" s="3"/>
      <c r="BP14" s="48" t="str">
        <f t="shared" si="34"/>
        <v/>
      </c>
      <c r="BQ14" s="3"/>
      <c r="BR14" s="48" t="str">
        <f t="shared" si="35"/>
        <v/>
      </c>
      <c r="BS14" s="3"/>
      <c r="BT14" s="48" t="str">
        <f t="shared" si="36"/>
        <v/>
      </c>
      <c r="BU14" s="3"/>
      <c r="BV14" s="48" t="str">
        <f t="shared" si="37"/>
        <v/>
      </c>
      <c r="BW14" s="3"/>
      <c r="BX14" s="48" t="str">
        <f t="shared" si="38"/>
        <v/>
      </c>
      <c r="BY14" s="3"/>
      <c r="BZ14" s="48" t="str">
        <f t="shared" si="39"/>
        <v/>
      </c>
      <c r="CA14" s="3"/>
      <c r="CB14" s="48" t="str">
        <f t="shared" si="40"/>
        <v/>
      </c>
      <c r="CC14" s="3"/>
      <c r="CD14" s="48" t="str">
        <f t="shared" si="41"/>
        <v/>
      </c>
      <c r="CE14" s="3"/>
      <c r="CF14" s="48" t="str">
        <f t="shared" si="42"/>
        <v/>
      </c>
      <c r="CG14" s="3"/>
      <c r="CH14" s="48" t="str">
        <f t="shared" si="43"/>
        <v/>
      </c>
      <c r="CI14" s="3"/>
      <c r="CJ14" s="48" t="str">
        <f t="shared" si="44"/>
        <v/>
      </c>
      <c r="CK14" s="3"/>
      <c r="CL14" s="48" t="str">
        <f t="shared" si="45"/>
        <v/>
      </c>
      <c r="CM14" s="3"/>
      <c r="CN14" s="48" t="str">
        <f t="shared" si="46"/>
        <v/>
      </c>
      <c r="CO14" s="3"/>
      <c r="CP14" s="48" t="str">
        <f t="shared" si="47"/>
        <v/>
      </c>
      <c r="CQ14" s="3"/>
      <c r="CR14" s="48" t="str">
        <f t="shared" si="48"/>
        <v/>
      </c>
      <c r="CS14" s="3"/>
      <c r="CT14" s="48" t="str">
        <f t="shared" si="49"/>
        <v/>
      </c>
      <c r="CU14" s="3"/>
      <c r="CV14" s="48" t="str">
        <f t="shared" si="50"/>
        <v/>
      </c>
      <c r="CW14" s="3"/>
      <c r="CX14" s="48" t="str">
        <f t="shared" si="51"/>
        <v/>
      </c>
      <c r="CY14" s="3"/>
      <c r="CZ14" s="48" t="str">
        <f t="shared" si="52"/>
        <v/>
      </c>
      <c r="DA14" s="3"/>
      <c r="DB14" s="48" t="str">
        <f t="shared" si="53"/>
        <v/>
      </c>
      <c r="DC14" s="3"/>
      <c r="DD14" s="48" t="str">
        <f t="shared" si="54"/>
        <v/>
      </c>
      <c r="DE14" s="3"/>
      <c r="DF14" s="48" t="str">
        <f t="shared" si="55"/>
        <v/>
      </c>
      <c r="DG14" s="3"/>
      <c r="DH14" s="48" t="str">
        <f t="shared" si="56"/>
        <v/>
      </c>
      <c r="DI14" s="3"/>
      <c r="DJ14" s="48" t="str">
        <f t="shared" si="57"/>
        <v/>
      </c>
      <c r="DK14" s="3"/>
      <c r="DL14" s="48" t="str">
        <f t="shared" si="58"/>
        <v/>
      </c>
      <c r="DM14" s="3"/>
      <c r="DN14" s="48" t="str">
        <f t="shared" si="59"/>
        <v/>
      </c>
      <c r="DO14" s="3"/>
      <c r="DP14" s="48" t="str">
        <f t="shared" si="60"/>
        <v/>
      </c>
    </row>
    <row r="15" ht="15.75" customHeight="1">
      <c r="A15" s="47" t="s">
        <v>181</v>
      </c>
      <c r="B15" s="48">
        <f t="shared" si="1"/>
        <v>89</v>
      </c>
      <c r="C15" s="49" t="s">
        <v>182</v>
      </c>
      <c r="D15" s="48">
        <f t="shared" si="2"/>
        <v>78</v>
      </c>
      <c r="E15" s="50" t="s">
        <v>183</v>
      </c>
      <c r="F15" s="48">
        <f t="shared" si="3"/>
        <v>86</v>
      </c>
      <c r="G15" s="3" t="s">
        <v>184</v>
      </c>
      <c r="H15" s="48">
        <f t="shared" si="4"/>
        <v>80</v>
      </c>
      <c r="I15" s="50" t="s">
        <v>185</v>
      </c>
      <c r="J15" s="48">
        <f t="shared" si="5"/>
        <v>81</v>
      </c>
      <c r="K15" s="3" t="s">
        <v>186</v>
      </c>
      <c r="L15" s="48">
        <f t="shared" si="6"/>
        <v>88</v>
      </c>
      <c r="M15" s="3" t="s">
        <v>187</v>
      </c>
      <c r="N15" s="48" t="str">
        <f t="shared" si="7"/>
        <v/>
      </c>
      <c r="O15" s="3"/>
      <c r="P15" s="48" t="str">
        <f t="shared" si="8"/>
        <v/>
      </c>
      <c r="Q15" s="3"/>
      <c r="R15" s="48" t="str">
        <f t="shared" si="9"/>
        <v/>
      </c>
      <c r="S15" s="3"/>
      <c r="T15" s="48" t="str">
        <f t="shared" si="10"/>
        <v/>
      </c>
      <c r="U15" s="3"/>
      <c r="V15" s="48" t="str">
        <f t="shared" si="11"/>
        <v/>
      </c>
      <c r="W15" s="3"/>
      <c r="X15" s="48" t="str">
        <f t="shared" si="12"/>
        <v/>
      </c>
      <c r="Y15" s="3"/>
      <c r="Z15" s="48" t="str">
        <f t="shared" si="13"/>
        <v/>
      </c>
      <c r="AA15" s="3"/>
      <c r="AB15" s="48" t="str">
        <f t="shared" si="14"/>
        <v/>
      </c>
      <c r="AC15" s="3"/>
      <c r="AD15" s="48" t="str">
        <f t="shared" si="15"/>
        <v/>
      </c>
      <c r="AE15" s="3"/>
      <c r="AF15" s="48" t="str">
        <f t="shared" si="16"/>
        <v/>
      </c>
      <c r="AG15" s="3"/>
      <c r="AH15" s="48" t="str">
        <f t="shared" si="17"/>
        <v/>
      </c>
      <c r="AI15" s="3"/>
      <c r="AJ15" s="48" t="str">
        <f t="shared" si="18"/>
        <v/>
      </c>
      <c r="AK15" s="3"/>
      <c r="AL15" s="48" t="str">
        <f t="shared" si="19"/>
        <v/>
      </c>
      <c r="AM15" s="3"/>
      <c r="AN15" s="48" t="str">
        <f t="shared" si="20"/>
        <v/>
      </c>
      <c r="AO15" s="3"/>
      <c r="AP15" s="48" t="str">
        <f t="shared" si="21"/>
        <v/>
      </c>
      <c r="AQ15" s="3"/>
      <c r="AR15" s="48" t="str">
        <f t="shared" si="22"/>
        <v/>
      </c>
      <c r="AS15" s="3"/>
      <c r="AT15" s="48" t="str">
        <f t="shared" si="23"/>
        <v/>
      </c>
      <c r="AU15" s="3"/>
      <c r="AV15" s="48" t="str">
        <f t="shared" si="24"/>
        <v/>
      </c>
      <c r="AW15" s="3"/>
      <c r="AX15" s="48" t="str">
        <f t="shared" si="25"/>
        <v/>
      </c>
      <c r="AY15" s="3"/>
      <c r="AZ15" s="48" t="str">
        <f t="shared" si="26"/>
        <v/>
      </c>
      <c r="BA15" s="3"/>
      <c r="BB15" s="48" t="str">
        <f t="shared" si="27"/>
        <v/>
      </c>
      <c r="BC15" s="3"/>
      <c r="BD15" s="48" t="str">
        <f t="shared" si="28"/>
        <v/>
      </c>
      <c r="BE15" s="3"/>
      <c r="BF15" s="48" t="str">
        <f t="shared" si="29"/>
        <v/>
      </c>
      <c r="BG15" s="3"/>
      <c r="BH15" s="48" t="str">
        <f t="shared" si="30"/>
        <v/>
      </c>
      <c r="BI15" s="3"/>
      <c r="BJ15" s="48" t="str">
        <f t="shared" si="31"/>
        <v/>
      </c>
      <c r="BK15" s="3"/>
      <c r="BL15" s="48" t="str">
        <f t="shared" si="32"/>
        <v/>
      </c>
      <c r="BM15" s="3"/>
      <c r="BN15" s="48" t="str">
        <f t="shared" si="33"/>
        <v/>
      </c>
      <c r="BO15" s="3"/>
      <c r="BP15" s="48" t="str">
        <f t="shared" si="34"/>
        <v/>
      </c>
      <c r="BQ15" s="3"/>
      <c r="BR15" s="48" t="str">
        <f t="shared" si="35"/>
        <v/>
      </c>
      <c r="BS15" s="3"/>
      <c r="BT15" s="48" t="str">
        <f t="shared" si="36"/>
        <v/>
      </c>
      <c r="BU15" s="3"/>
      <c r="BV15" s="48" t="str">
        <f t="shared" si="37"/>
        <v/>
      </c>
      <c r="BW15" s="3"/>
      <c r="BX15" s="48" t="str">
        <f t="shared" si="38"/>
        <v/>
      </c>
      <c r="BY15" s="3"/>
      <c r="BZ15" s="48" t="str">
        <f t="shared" si="39"/>
        <v/>
      </c>
      <c r="CA15" s="3"/>
      <c r="CB15" s="48" t="str">
        <f t="shared" si="40"/>
        <v/>
      </c>
      <c r="CC15" s="3"/>
      <c r="CD15" s="48" t="str">
        <f t="shared" si="41"/>
        <v/>
      </c>
      <c r="CE15" s="3"/>
      <c r="CF15" s="48" t="str">
        <f t="shared" si="42"/>
        <v/>
      </c>
      <c r="CG15" s="3"/>
      <c r="CH15" s="48" t="str">
        <f t="shared" si="43"/>
        <v/>
      </c>
      <c r="CI15" s="3"/>
      <c r="CJ15" s="48" t="str">
        <f t="shared" si="44"/>
        <v/>
      </c>
      <c r="CK15" s="3"/>
      <c r="CL15" s="48" t="str">
        <f t="shared" si="45"/>
        <v/>
      </c>
      <c r="CM15" s="3"/>
      <c r="CN15" s="48" t="str">
        <f t="shared" si="46"/>
        <v/>
      </c>
      <c r="CO15" s="3"/>
      <c r="CP15" s="48" t="str">
        <f t="shared" si="47"/>
        <v/>
      </c>
      <c r="CQ15" s="3"/>
      <c r="CR15" s="48" t="str">
        <f t="shared" si="48"/>
        <v/>
      </c>
      <c r="CS15" s="3"/>
      <c r="CT15" s="48" t="str">
        <f t="shared" si="49"/>
        <v/>
      </c>
      <c r="CU15" s="3"/>
      <c r="CV15" s="48" t="str">
        <f t="shared" si="50"/>
        <v/>
      </c>
      <c r="CW15" s="3"/>
      <c r="CX15" s="48" t="str">
        <f t="shared" si="51"/>
        <v/>
      </c>
      <c r="CY15" s="3"/>
      <c r="CZ15" s="48" t="str">
        <f t="shared" si="52"/>
        <v/>
      </c>
      <c r="DA15" s="3"/>
      <c r="DB15" s="48" t="str">
        <f t="shared" si="53"/>
        <v/>
      </c>
      <c r="DC15" s="3"/>
      <c r="DD15" s="48" t="str">
        <f t="shared" si="54"/>
        <v/>
      </c>
      <c r="DE15" s="3"/>
      <c r="DF15" s="48" t="str">
        <f t="shared" si="55"/>
        <v/>
      </c>
      <c r="DG15" s="3"/>
      <c r="DH15" s="48" t="str">
        <f t="shared" si="56"/>
        <v/>
      </c>
      <c r="DI15" s="3"/>
      <c r="DJ15" s="48" t="str">
        <f t="shared" si="57"/>
        <v/>
      </c>
      <c r="DK15" s="3"/>
      <c r="DL15" s="48" t="str">
        <f t="shared" si="58"/>
        <v/>
      </c>
      <c r="DM15" s="3"/>
      <c r="DN15" s="48" t="str">
        <f t="shared" si="59"/>
        <v/>
      </c>
      <c r="DO15" s="3"/>
      <c r="DP15" s="48" t="str">
        <f t="shared" si="60"/>
        <v/>
      </c>
    </row>
    <row r="16" ht="15.75" customHeight="1">
      <c r="A16" s="47" t="s">
        <v>188</v>
      </c>
      <c r="B16" s="48">
        <f t="shared" si="1"/>
        <v>87</v>
      </c>
      <c r="C16" s="49" t="s">
        <v>189</v>
      </c>
      <c r="D16" s="48">
        <f t="shared" si="2"/>
        <v>90</v>
      </c>
      <c r="E16" s="50" t="s">
        <v>190</v>
      </c>
      <c r="F16" s="48">
        <f t="shared" si="3"/>
        <v>88</v>
      </c>
      <c r="G16" s="3" t="s">
        <v>191</v>
      </c>
      <c r="H16" s="48">
        <f t="shared" si="4"/>
        <v>88</v>
      </c>
      <c r="I16" s="3" t="s">
        <v>192</v>
      </c>
      <c r="J16" s="48">
        <f t="shared" si="5"/>
        <v>88</v>
      </c>
      <c r="K16" s="3" t="s">
        <v>193</v>
      </c>
      <c r="L16" s="48">
        <f t="shared" si="6"/>
        <v>89</v>
      </c>
      <c r="M16" s="3" t="s">
        <v>194</v>
      </c>
      <c r="N16" s="48" t="str">
        <f t="shared" si="7"/>
        <v/>
      </c>
      <c r="O16" s="3"/>
      <c r="P16" s="48" t="str">
        <f t="shared" si="8"/>
        <v/>
      </c>
      <c r="Q16" s="3"/>
      <c r="R16" s="48" t="str">
        <f t="shared" si="9"/>
        <v/>
      </c>
      <c r="S16" s="3"/>
      <c r="T16" s="48" t="str">
        <f t="shared" si="10"/>
        <v/>
      </c>
      <c r="U16" s="3"/>
      <c r="V16" s="48" t="str">
        <f t="shared" si="11"/>
        <v/>
      </c>
      <c r="W16" s="3"/>
      <c r="X16" s="48" t="str">
        <f t="shared" si="12"/>
        <v/>
      </c>
      <c r="Y16" s="3"/>
      <c r="Z16" s="48" t="str">
        <f t="shared" si="13"/>
        <v/>
      </c>
      <c r="AA16" s="3"/>
      <c r="AB16" s="48" t="str">
        <f t="shared" si="14"/>
        <v/>
      </c>
      <c r="AC16" s="3"/>
      <c r="AD16" s="48" t="str">
        <f t="shared" si="15"/>
        <v/>
      </c>
      <c r="AE16" s="3"/>
      <c r="AF16" s="48" t="str">
        <f t="shared" si="16"/>
        <v/>
      </c>
      <c r="AG16" s="3"/>
      <c r="AH16" s="48" t="str">
        <f t="shared" si="17"/>
        <v/>
      </c>
      <c r="AI16" s="3"/>
      <c r="AJ16" s="48" t="str">
        <f t="shared" si="18"/>
        <v/>
      </c>
      <c r="AK16" s="3"/>
      <c r="AL16" s="48" t="str">
        <f t="shared" si="19"/>
        <v/>
      </c>
      <c r="AM16" s="3"/>
      <c r="AN16" s="48" t="str">
        <f t="shared" si="20"/>
        <v/>
      </c>
      <c r="AO16" s="3"/>
      <c r="AP16" s="48" t="str">
        <f t="shared" si="21"/>
        <v/>
      </c>
      <c r="AQ16" s="3"/>
      <c r="AR16" s="48" t="str">
        <f t="shared" si="22"/>
        <v/>
      </c>
      <c r="AS16" s="3"/>
      <c r="AT16" s="48" t="str">
        <f t="shared" si="23"/>
        <v/>
      </c>
      <c r="AU16" s="3"/>
      <c r="AV16" s="48" t="str">
        <f t="shared" si="24"/>
        <v/>
      </c>
      <c r="AW16" s="3"/>
      <c r="AX16" s="48" t="str">
        <f t="shared" si="25"/>
        <v/>
      </c>
      <c r="AY16" s="3"/>
      <c r="AZ16" s="48" t="str">
        <f t="shared" si="26"/>
        <v/>
      </c>
      <c r="BA16" s="3"/>
      <c r="BB16" s="48" t="str">
        <f t="shared" si="27"/>
        <v/>
      </c>
      <c r="BC16" s="3"/>
      <c r="BD16" s="48" t="str">
        <f t="shared" si="28"/>
        <v/>
      </c>
      <c r="BE16" s="3"/>
      <c r="BF16" s="48" t="str">
        <f t="shared" si="29"/>
        <v/>
      </c>
      <c r="BG16" s="3"/>
      <c r="BH16" s="48" t="str">
        <f t="shared" si="30"/>
        <v/>
      </c>
      <c r="BI16" s="3"/>
      <c r="BJ16" s="48" t="str">
        <f t="shared" si="31"/>
        <v/>
      </c>
      <c r="BK16" s="3"/>
      <c r="BL16" s="48" t="str">
        <f t="shared" si="32"/>
        <v/>
      </c>
      <c r="BM16" s="3"/>
      <c r="BN16" s="48" t="str">
        <f t="shared" si="33"/>
        <v/>
      </c>
      <c r="BO16" s="3"/>
      <c r="BP16" s="48" t="str">
        <f t="shared" si="34"/>
        <v/>
      </c>
      <c r="BQ16" s="3"/>
      <c r="BR16" s="48" t="str">
        <f t="shared" si="35"/>
        <v/>
      </c>
      <c r="BS16" s="3"/>
      <c r="BT16" s="48" t="str">
        <f t="shared" si="36"/>
        <v/>
      </c>
      <c r="BU16" s="3"/>
      <c r="BV16" s="48" t="str">
        <f t="shared" si="37"/>
        <v/>
      </c>
      <c r="BW16" s="3"/>
      <c r="BX16" s="48" t="str">
        <f t="shared" si="38"/>
        <v/>
      </c>
      <c r="BY16" s="3"/>
      <c r="BZ16" s="48" t="str">
        <f t="shared" si="39"/>
        <v/>
      </c>
      <c r="CA16" s="3"/>
      <c r="CB16" s="48" t="str">
        <f t="shared" si="40"/>
        <v/>
      </c>
      <c r="CC16" s="3"/>
      <c r="CD16" s="48" t="str">
        <f t="shared" si="41"/>
        <v/>
      </c>
      <c r="CE16" s="3"/>
      <c r="CF16" s="48" t="str">
        <f t="shared" si="42"/>
        <v/>
      </c>
      <c r="CG16" s="3"/>
      <c r="CH16" s="48" t="str">
        <f t="shared" si="43"/>
        <v/>
      </c>
      <c r="CI16" s="3"/>
      <c r="CJ16" s="48" t="str">
        <f t="shared" si="44"/>
        <v/>
      </c>
      <c r="CK16" s="3"/>
      <c r="CL16" s="48" t="str">
        <f t="shared" si="45"/>
        <v/>
      </c>
      <c r="CM16" s="3"/>
      <c r="CN16" s="48" t="str">
        <f t="shared" si="46"/>
        <v/>
      </c>
      <c r="CO16" s="3"/>
      <c r="CP16" s="48" t="str">
        <f t="shared" si="47"/>
        <v/>
      </c>
      <c r="CQ16" s="3"/>
      <c r="CR16" s="48" t="str">
        <f t="shared" si="48"/>
        <v/>
      </c>
      <c r="CS16" s="3"/>
      <c r="CT16" s="48" t="str">
        <f t="shared" si="49"/>
        <v/>
      </c>
      <c r="CU16" s="3"/>
      <c r="CV16" s="48" t="str">
        <f t="shared" si="50"/>
        <v/>
      </c>
      <c r="CW16" s="3"/>
      <c r="CX16" s="48" t="str">
        <f t="shared" si="51"/>
        <v/>
      </c>
      <c r="CY16" s="3"/>
      <c r="CZ16" s="48" t="str">
        <f t="shared" si="52"/>
        <v/>
      </c>
      <c r="DA16" s="3"/>
      <c r="DB16" s="48" t="str">
        <f t="shared" si="53"/>
        <v/>
      </c>
      <c r="DC16" s="3"/>
      <c r="DD16" s="48" t="str">
        <f t="shared" si="54"/>
        <v/>
      </c>
      <c r="DE16" s="3"/>
      <c r="DF16" s="48" t="str">
        <f t="shared" si="55"/>
        <v/>
      </c>
      <c r="DG16" s="3"/>
      <c r="DH16" s="48" t="str">
        <f t="shared" si="56"/>
        <v/>
      </c>
      <c r="DI16" s="3"/>
      <c r="DJ16" s="48" t="str">
        <f t="shared" si="57"/>
        <v/>
      </c>
      <c r="DK16" s="3"/>
      <c r="DL16" s="48" t="str">
        <f t="shared" si="58"/>
        <v/>
      </c>
      <c r="DM16" s="3"/>
      <c r="DN16" s="48" t="str">
        <f t="shared" si="59"/>
        <v/>
      </c>
      <c r="DO16" s="3"/>
      <c r="DP16" s="48" t="str">
        <f t="shared" si="60"/>
        <v/>
      </c>
    </row>
    <row r="17" ht="15.75" customHeight="1">
      <c r="A17" s="47" t="s">
        <v>195</v>
      </c>
      <c r="B17" s="48">
        <f t="shared" si="1"/>
        <v>46</v>
      </c>
      <c r="C17" s="51" t="s">
        <v>196</v>
      </c>
      <c r="D17" s="48"/>
      <c r="E17" s="51" t="s">
        <v>197</v>
      </c>
      <c r="F17" s="48"/>
      <c r="G17" s="51" t="s">
        <v>198</v>
      </c>
      <c r="H17" s="48"/>
      <c r="I17" s="51" t="s">
        <v>199</v>
      </c>
      <c r="J17" s="48"/>
      <c r="K17" s="51" t="s">
        <v>200</v>
      </c>
      <c r="L17" s="48"/>
      <c r="M17" s="51" t="s">
        <v>201</v>
      </c>
      <c r="N17" s="48" t="str">
        <f t="shared" si="7"/>
        <v/>
      </c>
      <c r="O17" s="3"/>
      <c r="P17" s="48" t="str">
        <f t="shared" si="8"/>
        <v/>
      </c>
      <c r="Q17" s="3"/>
      <c r="R17" s="48" t="str">
        <f t="shared" si="9"/>
        <v/>
      </c>
      <c r="S17" s="3"/>
      <c r="T17" s="48" t="str">
        <f t="shared" si="10"/>
        <v/>
      </c>
      <c r="U17" s="3"/>
      <c r="V17" s="48" t="str">
        <f t="shared" si="11"/>
        <v/>
      </c>
      <c r="W17" s="3"/>
      <c r="X17" s="48" t="str">
        <f t="shared" si="12"/>
        <v/>
      </c>
      <c r="Y17" s="3"/>
      <c r="Z17" s="48" t="str">
        <f t="shared" si="13"/>
        <v/>
      </c>
      <c r="AA17" s="3"/>
      <c r="AB17" s="48" t="str">
        <f t="shared" si="14"/>
        <v/>
      </c>
      <c r="AC17" s="3"/>
      <c r="AD17" s="48" t="str">
        <f t="shared" si="15"/>
        <v/>
      </c>
      <c r="AE17" s="3"/>
      <c r="AF17" s="48" t="str">
        <f t="shared" si="16"/>
        <v/>
      </c>
      <c r="AG17" s="3"/>
      <c r="AH17" s="48" t="str">
        <f t="shared" si="17"/>
        <v/>
      </c>
      <c r="AI17" s="3"/>
      <c r="AJ17" s="48" t="str">
        <f t="shared" si="18"/>
        <v/>
      </c>
      <c r="AK17" s="3"/>
      <c r="AL17" s="48" t="str">
        <f t="shared" si="19"/>
        <v/>
      </c>
      <c r="AM17" s="3"/>
      <c r="AN17" s="48" t="str">
        <f t="shared" si="20"/>
        <v/>
      </c>
      <c r="AO17" s="3"/>
      <c r="AP17" s="48" t="str">
        <f t="shared" si="21"/>
        <v/>
      </c>
      <c r="AQ17" s="3"/>
      <c r="AR17" s="48" t="str">
        <f t="shared" si="22"/>
        <v/>
      </c>
      <c r="AS17" s="3"/>
      <c r="AT17" s="48" t="str">
        <f t="shared" si="23"/>
        <v/>
      </c>
      <c r="AU17" s="3"/>
      <c r="AV17" s="48" t="str">
        <f t="shared" si="24"/>
        <v/>
      </c>
      <c r="AW17" s="3"/>
      <c r="AX17" s="48" t="str">
        <f t="shared" si="25"/>
        <v/>
      </c>
      <c r="AY17" s="3"/>
      <c r="AZ17" s="48" t="str">
        <f t="shared" si="26"/>
        <v/>
      </c>
      <c r="BA17" s="3"/>
      <c r="BB17" s="48" t="str">
        <f t="shared" si="27"/>
        <v/>
      </c>
      <c r="BC17" s="3"/>
      <c r="BD17" s="48" t="str">
        <f t="shared" si="28"/>
        <v/>
      </c>
      <c r="BE17" s="3"/>
      <c r="BF17" s="48" t="str">
        <f t="shared" si="29"/>
        <v/>
      </c>
      <c r="BG17" s="3"/>
      <c r="BH17" s="48" t="str">
        <f t="shared" si="30"/>
        <v/>
      </c>
      <c r="BI17" s="3"/>
      <c r="BJ17" s="48" t="str">
        <f t="shared" si="31"/>
        <v/>
      </c>
      <c r="BK17" s="3"/>
      <c r="BL17" s="48" t="str">
        <f t="shared" si="32"/>
        <v/>
      </c>
      <c r="BM17" s="3"/>
      <c r="BN17" s="48" t="str">
        <f t="shared" si="33"/>
        <v/>
      </c>
      <c r="BO17" s="3"/>
      <c r="BP17" s="48" t="str">
        <f t="shared" si="34"/>
        <v/>
      </c>
      <c r="BQ17" s="3"/>
      <c r="BR17" s="48" t="str">
        <f t="shared" si="35"/>
        <v/>
      </c>
      <c r="BS17" s="3"/>
      <c r="BT17" s="48" t="str">
        <f t="shared" si="36"/>
        <v/>
      </c>
      <c r="BU17" s="3"/>
      <c r="BV17" s="48" t="str">
        <f t="shared" si="37"/>
        <v/>
      </c>
      <c r="BW17" s="3"/>
      <c r="BX17" s="48" t="str">
        <f t="shared" si="38"/>
        <v/>
      </c>
      <c r="BY17" s="3"/>
      <c r="BZ17" s="48" t="str">
        <f t="shared" si="39"/>
        <v/>
      </c>
      <c r="CA17" s="3"/>
      <c r="CB17" s="48" t="str">
        <f t="shared" si="40"/>
        <v/>
      </c>
      <c r="CC17" s="3"/>
      <c r="CD17" s="48" t="str">
        <f t="shared" si="41"/>
        <v/>
      </c>
      <c r="CE17" s="3"/>
      <c r="CF17" s="48" t="str">
        <f t="shared" si="42"/>
        <v/>
      </c>
      <c r="CG17" s="3"/>
      <c r="CH17" s="48" t="str">
        <f t="shared" si="43"/>
        <v/>
      </c>
      <c r="CI17" s="3"/>
      <c r="CJ17" s="48" t="str">
        <f t="shared" si="44"/>
        <v/>
      </c>
      <c r="CK17" s="3"/>
      <c r="CL17" s="48" t="str">
        <f t="shared" si="45"/>
        <v/>
      </c>
      <c r="CM17" s="3"/>
      <c r="CN17" s="48" t="str">
        <f t="shared" si="46"/>
        <v/>
      </c>
      <c r="CO17" s="3"/>
      <c r="CP17" s="48" t="str">
        <f t="shared" si="47"/>
        <v/>
      </c>
      <c r="CQ17" s="3"/>
      <c r="CR17" s="48" t="str">
        <f t="shared" si="48"/>
        <v/>
      </c>
      <c r="CS17" s="3"/>
      <c r="CT17" s="48" t="str">
        <f t="shared" si="49"/>
        <v/>
      </c>
      <c r="CU17" s="3"/>
      <c r="CV17" s="48" t="str">
        <f t="shared" si="50"/>
        <v/>
      </c>
      <c r="CW17" s="3"/>
      <c r="CX17" s="48" t="str">
        <f t="shared" si="51"/>
        <v/>
      </c>
      <c r="CY17" s="3"/>
      <c r="CZ17" s="48" t="str">
        <f t="shared" si="52"/>
        <v/>
      </c>
      <c r="DA17" s="3"/>
      <c r="DB17" s="48" t="str">
        <f t="shared" si="53"/>
        <v/>
      </c>
      <c r="DC17" s="3"/>
      <c r="DD17" s="48" t="str">
        <f t="shared" si="54"/>
        <v/>
      </c>
      <c r="DE17" s="3"/>
      <c r="DF17" s="48" t="str">
        <f t="shared" si="55"/>
        <v/>
      </c>
      <c r="DG17" s="3"/>
      <c r="DH17" s="48" t="str">
        <f t="shared" si="56"/>
        <v/>
      </c>
      <c r="DI17" s="3"/>
      <c r="DJ17" s="48" t="str">
        <f t="shared" si="57"/>
        <v/>
      </c>
      <c r="DK17" s="3"/>
      <c r="DL17" s="48" t="str">
        <f t="shared" si="58"/>
        <v/>
      </c>
      <c r="DM17" s="3"/>
      <c r="DN17" s="48" t="str">
        <f t="shared" si="59"/>
        <v/>
      </c>
      <c r="DO17" s="3"/>
      <c r="DP17" s="48" t="str">
        <f t="shared" si="60"/>
        <v/>
      </c>
    </row>
    <row r="18" ht="15.75" customHeight="1">
      <c r="A18" s="47" t="s">
        <v>202</v>
      </c>
      <c r="B18" s="48">
        <f t="shared" si="1"/>
        <v>28</v>
      </c>
      <c r="C18" s="52" t="s">
        <v>203</v>
      </c>
      <c r="D18" s="48"/>
      <c r="E18" s="52" t="s">
        <v>203</v>
      </c>
      <c r="F18" s="48"/>
      <c r="G18" s="53" t="s">
        <v>203</v>
      </c>
      <c r="H18" s="48"/>
      <c r="I18" s="53" t="s">
        <v>203</v>
      </c>
      <c r="J18" s="48"/>
      <c r="K18" s="53" t="s">
        <v>203</v>
      </c>
      <c r="L18" s="48"/>
      <c r="M18" s="53" t="s">
        <v>203</v>
      </c>
      <c r="N18" s="48" t="str">
        <f t="shared" si="7"/>
        <v/>
      </c>
      <c r="O18" s="3"/>
      <c r="P18" s="48" t="str">
        <f t="shared" si="8"/>
        <v/>
      </c>
      <c r="Q18" s="3"/>
      <c r="R18" s="48" t="str">
        <f t="shared" si="9"/>
        <v/>
      </c>
      <c r="S18" s="3"/>
      <c r="T18" s="48" t="str">
        <f t="shared" si="10"/>
        <v/>
      </c>
      <c r="U18" s="3"/>
      <c r="V18" s="48" t="str">
        <f t="shared" si="11"/>
        <v/>
      </c>
      <c r="W18" s="3"/>
      <c r="X18" s="48" t="str">
        <f t="shared" si="12"/>
        <v/>
      </c>
      <c r="Y18" s="3"/>
      <c r="Z18" s="48" t="str">
        <f t="shared" si="13"/>
        <v/>
      </c>
      <c r="AA18" s="3"/>
      <c r="AB18" s="48" t="str">
        <f t="shared" si="14"/>
        <v/>
      </c>
      <c r="AC18" s="3"/>
      <c r="AD18" s="48" t="str">
        <f t="shared" si="15"/>
        <v/>
      </c>
      <c r="AE18" s="3"/>
      <c r="AF18" s="48" t="str">
        <f t="shared" si="16"/>
        <v/>
      </c>
      <c r="AG18" s="3"/>
      <c r="AH18" s="48" t="str">
        <f t="shared" si="17"/>
        <v/>
      </c>
      <c r="AI18" s="3"/>
      <c r="AJ18" s="48" t="str">
        <f t="shared" si="18"/>
        <v/>
      </c>
      <c r="AK18" s="3"/>
      <c r="AL18" s="48" t="str">
        <f t="shared" si="19"/>
        <v/>
      </c>
      <c r="AM18" s="3"/>
      <c r="AN18" s="48" t="str">
        <f t="shared" si="20"/>
        <v/>
      </c>
      <c r="AO18" s="3"/>
      <c r="AP18" s="48" t="str">
        <f t="shared" si="21"/>
        <v/>
      </c>
      <c r="AQ18" s="3"/>
      <c r="AR18" s="48" t="str">
        <f t="shared" si="22"/>
        <v/>
      </c>
      <c r="AS18" s="3"/>
      <c r="AT18" s="48" t="str">
        <f t="shared" si="23"/>
        <v/>
      </c>
      <c r="AU18" s="3"/>
      <c r="AV18" s="48" t="str">
        <f t="shared" si="24"/>
        <v/>
      </c>
      <c r="AW18" s="3"/>
      <c r="AX18" s="48" t="str">
        <f t="shared" si="25"/>
        <v/>
      </c>
      <c r="AY18" s="3"/>
      <c r="AZ18" s="48" t="str">
        <f t="shared" si="26"/>
        <v/>
      </c>
      <c r="BA18" s="3"/>
      <c r="BB18" s="48" t="str">
        <f t="shared" si="27"/>
        <v/>
      </c>
      <c r="BC18" s="3"/>
      <c r="BD18" s="48" t="str">
        <f t="shared" si="28"/>
        <v/>
      </c>
      <c r="BE18" s="3"/>
      <c r="BF18" s="48" t="str">
        <f t="shared" si="29"/>
        <v/>
      </c>
      <c r="BG18" s="3"/>
      <c r="BH18" s="48" t="str">
        <f t="shared" si="30"/>
        <v/>
      </c>
      <c r="BI18" s="3"/>
      <c r="BJ18" s="48" t="str">
        <f t="shared" si="31"/>
        <v/>
      </c>
      <c r="BK18" s="3"/>
      <c r="BL18" s="48" t="str">
        <f t="shared" si="32"/>
        <v/>
      </c>
      <c r="BM18" s="3"/>
      <c r="BN18" s="48" t="str">
        <f t="shared" si="33"/>
        <v/>
      </c>
      <c r="BO18" s="3"/>
      <c r="BP18" s="48" t="str">
        <f t="shared" si="34"/>
        <v/>
      </c>
      <c r="BQ18" s="3"/>
      <c r="BR18" s="48" t="str">
        <f t="shared" si="35"/>
        <v/>
      </c>
      <c r="BS18" s="3"/>
      <c r="BT18" s="48" t="str">
        <f t="shared" si="36"/>
        <v/>
      </c>
      <c r="BU18" s="3"/>
      <c r="BV18" s="48" t="str">
        <f t="shared" si="37"/>
        <v/>
      </c>
      <c r="BW18" s="3"/>
      <c r="BX18" s="48" t="str">
        <f t="shared" si="38"/>
        <v/>
      </c>
      <c r="BY18" s="3"/>
      <c r="BZ18" s="48" t="str">
        <f t="shared" si="39"/>
        <v/>
      </c>
      <c r="CA18" s="3"/>
      <c r="CB18" s="48" t="str">
        <f t="shared" si="40"/>
        <v/>
      </c>
      <c r="CC18" s="3"/>
      <c r="CD18" s="48" t="str">
        <f t="shared" si="41"/>
        <v/>
      </c>
      <c r="CE18" s="3"/>
      <c r="CF18" s="48" t="str">
        <f t="shared" si="42"/>
        <v/>
      </c>
      <c r="CG18" s="3"/>
      <c r="CH18" s="48" t="str">
        <f t="shared" si="43"/>
        <v/>
      </c>
      <c r="CI18" s="3"/>
      <c r="CJ18" s="48" t="str">
        <f t="shared" si="44"/>
        <v/>
      </c>
      <c r="CK18" s="3"/>
      <c r="CL18" s="48" t="str">
        <f t="shared" si="45"/>
        <v/>
      </c>
      <c r="CM18" s="3"/>
      <c r="CN18" s="48" t="str">
        <f t="shared" si="46"/>
        <v/>
      </c>
      <c r="CO18" s="3"/>
      <c r="CP18" s="48" t="str">
        <f t="shared" si="47"/>
        <v/>
      </c>
      <c r="CQ18" s="3"/>
      <c r="CR18" s="48" t="str">
        <f t="shared" si="48"/>
        <v/>
      </c>
      <c r="CS18" s="3"/>
      <c r="CT18" s="48" t="str">
        <f t="shared" si="49"/>
        <v/>
      </c>
      <c r="CU18" s="3"/>
      <c r="CV18" s="48" t="str">
        <f t="shared" si="50"/>
        <v/>
      </c>
      <c r="CW18" s="3"/>
      <c r="CX18" s="48" t="str">
        <f t="shared" si="51"/>
        <v/>
      </c>
      <c r="CY18" s="3"/>
      <c r="CZ18" s="48" t="str">
        <f t="shared" si="52"/>
        <v/>
      </c>
      <c r="DA18" s="3"/>
      <c r="DB18" s="48" t="str">
        <f t="shared" si="53"/>
        <v/>
      </c>
      <c r="DC18" s="3"/>
      <c r="DD18" s="48" t="str">
        <f t="shared" si="54"/>
        <v/>
      </c>
      <c r="DE18" s="3"/>
      <c r="DF18" s="48" t="str">
        <f t="shared" si="55"/>
        <v/>
      </c>
      <c r="DG18" s="3"/>
      <c r="DH18" s="48" t="str">
        <f t="shared" si="56"/>
        <v/>
      </c>
      <c r="DI18" s="3"/>
      <c r="DJ18" s="48" t="str">
        <f t="shared" si="57"/>
        <v/>
      </c>
      <c r="DK18" s="3"/>
      <c r="DL18" s="48" t="str">
        <f t="shared" si="58"/>
        <v/>
      </c>
      <c r="DM18" s="3"/>
      <c r="DN18" s="48" t="str">
        <f t="shared" si="59"/>
        <v/>
      </c>
      <c r="DO18" s="3"/>
      <c r="DP18" s="48" t="str">
        <f t="shared" si="60"/>
        <v/>
      </c>
    </row>
    <row r="19" ht="15.75" customHeight="1">
      <c r="A19" s="47"/>
      <c r="B19" s="48" t="str">
        <f t="shared" si="1"/>
        <v/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</row>
    <row r="20" ht="15.75" customHeight="1">
      <c r="A20" s="47"/>
      <c r="B20" s="48"/>
      <c r="C20" s="3"/>
      <c r="D20" s="48"/>
      <c r="E20" s="3"/>
      <c r="F20" s="48"/>
      <c r="G20" s="3"/>
      <c r="H20" s="48"/>
      <c r="I20" s="3"/>
      <c r="J20" s="48"/>
      <c r="K20" s="3"/>
      <c r="L20" s="48"/>
      <c r="M20" s="3"/>
      <c r="N20" s="48"/>
      <c r="O20" s="3"/>
      <c r="P20" s="48"/>
      <c r="Q20" s="3"/>
      <c r="R20" s="48"/>
      <c r="S20" s="3"/>
      <c r="T20" s="48"/>
      <c r="U20" s="3"/>
      <c r="V20" s="48"/>
      <c r="W20" s="3"/>
      <c r="X20" s="48"/>
      <c r="Y20" s="3"/>
      <c r="Z20" s="48"/>
      <c r="AA20" s="3"/>
      <c r="AB20" s="48"/>
      <c r="AC20" s="3"/>
      <c r="AD20" s="48"/>
      <c r="AE20" s="3"/>
      <c r="AF20" s="48"/>
      <c r="AG20" s="3"/>
      <c r="AH20" s="48"/>
      <c r="AI20" s="3"/>
      <c r="AJ20" s="48"/>
      <c r="AK20" s="3"/>
      <c r="AL20" s="48"/>
      <c r="AM20" s="3"/>
      <c r="AN20" s="48"/>
      <c r="AO20" s="3"/>
      <c r="AP20" s="48"/>
      <c r="AQ20" s="3"/>
      <c r="AR20" s="48"/>
      <c r="AS20" s="3"/>
      <c r="AT20" s="48"/>
      <c r="AU20" s="3"/>
      <c r="AV20" s="48"/>
      <c r="AW20" s="3"/>
      <c r="AX20" s="48"/>
      <c r="AY20" s="3"/>
      <c r="AZ20" s="48"/>
      <c r="BA20" s="3"/>
      <c r="BB20" s="48"/>
      <c r="BC20" s="3"/>
      <c r="BD20" s="48"/>
      <c r="BE20" s="3"/>
      <c r="BF20" s="48"/>
      <c r="BG20" s="3"/>
      <c r="BH20" s="48"/>
      <c r="BI20" s="3"/>
      <c r="BJ20" s="48"/>
      <c r="BK20" s="3"/>
      <c r="BL20" s="48"/>
      <c r="BM20" s="3"/>
      <c r="BN20" s="48"/>
      <c r="BO20" s="3"/>
      <c r="BP20" s="48"/>
      <c r="BQ20" s="3"/>
      <c r="BR20" s="48"/>
      <c r="BS20" s="3"/>
      <c r="BT20" s="48"/>
      <c r="BU20" s="3"/>
      <c r="BV20" s="48"/>
      <c r="BW20" s="3"/>
      <c r="BX20" s="48"/>
      <c r="BY20" s="3"/>
      <c r="BZ20" s="48"/>
      <c r="CA20" s="3"/>
      <c r="CB20" s="48"/>
      <c r="CC20" s="3"/>
      <c r="CD20" s="48"/>
      <c r="CE20" s="3"/>
      <c r="CF20" s="48"/>
      <c r="CG20" s="3"/>
      <c r="CH20" s="48"/>
      <c r="CI20" s="3"/>
      <c r="CJ20" s="48"/>
      <c r="CK20" s="3"/>
      <c r="CL20" s="48"/>
      <c r="CM20" s="3"/>
      <c r="CN20" s="48"/>
      <c r="CO20" s="3"/>
      <c r="CP20" s="48"/>
      <c r="CQ20" s="3"/>
      <c r="CR20" s="48"/>
      <c r="CS20" s="3"/>
      <c r="CT20" s="48"/>
      <c r="CU20" s="3"/>
      <c r="CV20" s="48"/>
      <c r="CW20" s="3"/>
      <c r="CX20" s="48"/>
      <c r="CY20" s="3"/>
      <c r="CZ20" s="48"/>
      <c r="DA20" s="3"/>
      <c r="DB20" s="48"/>
      <c r="DC20" s="3"/>
      <c r="DD20" s="48"/>
      <c r="DE20" s="3"/>
      <c r="DF20" s="48"/>
      <c r="DG20" s="3"/>
      <c r="DH20" s="48"/>
      <c r="DI20" s="3"/>
      <c r="DJ20" s="48"/>
      <c r="DK20" s="3"/>
      <c r="DL20" s="48"/>
      <c r="DM20" s="3"/>
      <c r="DN20" s="48"/>
      <c r="DO20" s="3"/>
      <c r="DP20" s="48"/>
    </row>
    <row r="21" ht="15.75" customHeight="1">
      <c r="A21" s="47" t="s">
        <v>97</v>
      </c>
      <c r="B21" s="48">
        <f t="shared" ref="B21:B36" si="61">IF(LEN(C21)=0,"",LEN(C21))</f>
        <v>23</v>
      </c>
      <c r="C21" s="54" t="s">
        <v>204</v>
      </c>
      <c r="D21" s="48">
        <f t="shared" ref="D21:D34" si="62">IF(LEN(E21)=0,"",LEN(E21))</f>
        <v>27</v>
      </c>
      <c r="E21" s="54" t="s">
        <v>205</v>
      </c>
      <c r="F21" s="48">
        <f t="shared" ref="F21:F34" si="63">IF(LEN(G21)=0,"",LEN(G21))</f>
        <v>28</v>
      </c>
      <c r="G21" s="54" t="s">
        <v>206</v>
      </c>
      <c r="H21" s="48">
        <f t="shared" ref="H21:H34" si="64">IF(LEN(I21)=0,"",LEN(I21))</f>
        <v>24</v>
      </c>
      <c r="I21" s="54" t="s">
        <v>207</v>
      </c>
      <c r="J21" s="48">
        <f t="shared" ref="J21:J34" si="65">IF(LEN(K21)=0,"",LEN(K21))</f>
        <v>24</v>
      </c>
      <c r="K21" s="54" t="s">
        <v>208</v>
      </c>
      <c r="L21" s="48">
        <f t="shared" ref="L21:L34" si="66">IF(LEN(M21)=0,"",LEN(M21))</f>
        <v>27</v>
      </c>
      <c r="M21" s="54" t="s">
        <v>209</v>
      </c>
      <c r="N21" s="48" t="str">
        <f t="shared" ref="N21:N36" si="67">IF(LEN(O21)=0,"",LEN(O21))</f>
        <v/>
      </c>
      <c r="O21" s="3"/>
      <c r="P21" s="48" t="str">
        <f t="shared" ref="P21:P36" si="68">IF(LEN(Q21)=0,"",LEN(Q21))</f>
        <v/>
      </c>
      <c r="Q21" s="3"/>
      <c r="R21" s="48" t="str">
        <f t="shared" ref="R21:R36" si="69">IF(LEN(S21)=0,"",LEN(S21))</f>
        <v/>
      </c>
      <c r="S21" s="3"/>
      <c r="T21" s="48" t="str">
        <f t="shared" ref="T21:T36" si="70">IF(LEN(U21)=0,"",LEN(U21))</f>
        <v/>
      </c>
      <c r="U21" s="3"/>
      <c r="V21" s="48" t="str">
        <f t="shared" ref="V21:V36" si="71">IF(LEN(W21)=0,"",LEN(W21))</f>
        <v/>
      </c>
      <c r="W21" s="3"/>
      <c r="X21" s="48" t="str">
        <f t="shared" ref="X21:X36" si="72">IF(LEN(Y21)=0,"",LEN(Y21))</f>
        <v/>
      </c>
      <c r="Y21" s="3"/>
      <c r="Z21" s="48" t="str">
        <f t="shared" ref="Z21:Z36" si="73">IF(LEN(AA21)=0,"",LEN(AA21))</f>
        <v/>
      </c>
      <c r="AA21" s="3"/>
      <c r="AB21" s="48" t="str">
        <f t="shared" ref="AB21:AB36" si="74">IF(LEN(AC21)=0,"",LEN(AC21))</f>
        <v/>
      </c>
      <c r="AC21" s="3"/>
      <c r="AD21" s="48" t="str">
        <f t="shared" ref="AD21:AD36" si="75">IF(LEN(AE21)=0,"",LEN(AE21))</f>
        <v/>
      </c>
      <c r="AE21" s="3"/>
      <c r="AF21" s="48" t="str">
        <f t="shared" ref="AF21:AF36" si="76">IF(LEN(AG21)=0,"",LEN(AG21))</f>
        <v/>
      </c>
      <c r="AG21" s="3"/>
      <c r="AH21" s="48" t="str">
        <f t="shared" ref="AH21:AH36" si="77">IF(LEN(AI21)=0,"",LEN(AI21))</f>
        <v/>
      </c>
      <c r="AI21" s="3"/>
      <c r="AJ21" s="48" t="str">
        <f t="shared" ref="AJ21:AJ36" si="78">IF(LEN(AK21)=0,"",LEN(AK21))</f>
        <v/>
      </c>
      <c r="AK21" s="3"/>
      <c r="AL21" s="48" t="str">
        <f t="shared" ref="AL21:AL36" si="79">IF(LEN(AM21)=0,"",LEN(AM21))</f>
        <v/>
      </c>
      <c r="AM21" s="3"/>
      <c r="AN21" s="48" t="str">
        <f t="shared" ref="AN21:AN36" si="80">IF(LEN(AO21)=0,"",LEN(AO21))</f>
        <v/>
      </c>
      <c r="AO21" s="3"/>
      <c r="AP21" s="48" t="str">
        <f t="shared" ref="AP21:AP36" si="81">IF(LEN(AQ21)=0,"",LEN(AQ21))</f>
        <v/>
      </c>
      <c r="AQ21" s="3"/>
      <c r="AR21" s="48" t="str">
        <f t="shared" ref="AR21:AR36" si="82">IF(LEN(AS21)=0,"",LEN(AS21))</f>
        <v/>
      </c>
      <c r="AS21" s="3"/>
      <c r="AT21" s="48" t="str">
        <f t="shared" ref="AT21:AT36" si="83">IF(LEN(AU21)=0,"",LEN(AU21))</f>
        <v/>
      </c>
      <c r="AU21" s="3"/>
      <c r="AV21" s="48" t="str">
        <f t="shared" ref="AV21:AV36" si="84">IF(LEN(AW21)=0,"",LEN(AW21))</f>
        <v/>
      </c>
      <c r="AW21" s="3"/>
      <c r="AX21" s="48" t="str">
        <f t="shared" ref="AX21:AX36" si="85">IF(LEN(AY21)=0,"",LEN(AY21))</f>
        <v/>
      </c>
      <c r="AY21" s="3"/>
      <c r="AZ21" s="48" t="str">
        <f t="shared" ref="AZ21:AZ36" si="86">IF(LEN(BA21)=0,"",LEN(BA21))</f>
        <v/>
      </c>
      <c r="BA21" s="3"/>
      <c r="BB21" s="48" t="str">
        <f t="shared" ref="BB21:BB36" si="87">IF(LEN(BC21)=0,"",LEN(BC21))</f>
        <v/>
      </c>
      <c r="BC21" s="3"/>
      <c r="BD21" s="48" t="str">
        <f t="shared" ref="BD21:BD36" si="88">IF(LEN(BE21)=0,"",LEN(BE21))</f>
        <v/>
      </c>
      <c r="BE21" s="3"/>
      <c r="BF21" s="48" t="str">
        <f t="shared" ref="BF21:BF36" si="89">IF(LEN(BG21)=0,"",LEN(BG21))</f>
        <v/>
      </c>
      <c r="BG21" s="3"/>
      <c r="BH21" s="48" t="str">
        <f t="shared" ref="BH21:BH36" si="90">IF(LEN(BI21)=0,"",LEN(BI21))</f>
        <v/>
      </c>
      <c r="BI21" s="3"/>
      <c r="BJ21" s="48" t="str">
        <f t="shared" ref="BJ21:BJ36" si="91">IF(LEN(BK21)=0,"",LEN(BK21))</f>
        <v/>
      </c>
      <c r="BK21" s="3"/>
      <c r="BL21" s="48" t="str">
        <f t="shared" ref="BL21:BL36" si="92">IF(LEN(BM21)=0,"",LEN(BM21))</f>
        <v/>
      </c>
      <c r="BM21" s="3"/>
      <c r="BN21" s="48" t="str">
        <f t="shared" ref="BN21:BN36" si="93">IF(LEN(BO21)=0,"",LEN(BO21))</f>
        <v/>
      </c>
      <c r="BO21" s="3"/>
      <c r="BP21" s="48" t="str">
        <f t="shared" ref="BP21:BP36" si="94">IF(LEN(BQ21)=0,"",LEN(BQ21))</f>
        <v/>
      </c>
      <c r="BQ21" s="3"/>
      <c r="BR21" s="48" t="str">
        <f t="shared" ref="BR21:BR36" si="95">IF(LEN(BS21)=0,"",LEN(BS21))</f>
        <v/>
      </c>
      <c r="BS21" s="3"/>
      <c r="BT21" s="48" t="str">
        <f t="shared" ref="BT21:BT36" si="96">IF(LEN(BU21)=0,"",LEN(BU21))</f>
        <v/>
      </c>
      <c r="BU21" s="3"/>
      <c r="BV21" s="48" t="str">
        <f t="shared" ref="BV21:BV36" si="97">IF(LEN(BW21)=0,"",LEN(BW21))</f>
        <v/>
      </c>
      <c r="BW21" s="3"/>
      <c r="BX21" s="48" t="str">
        <f t="shared" ref="BX21:BX36" si="98">IF(LEN(BY21)=0,"",LEN(BY21))</f>
        <v/>
      </c>
      <c r="BY21" s="3"/>
      <c r="BZ21" s="48" t="str">
        <f t="shared" ref="BZ21:BZ36" si="99">IF(LEN(CA21)=0,"",LEN(CA21))</f>
        <v/>
      </c>
      <c r="CA21" s="3"/>
      <c r="CB21" s="48" t="str">
        <f t="shared" ref="CB21:CB36" si="100">IF(LEN(CC21)=0,"",LEN(CC21))</f>
        <v/>
      </c>
      <c r="CC21" s="3"/>
      <c r="CD21" s="48" t="str">
        <f t="shared" ref="CD21:CD36" si="101">IF(LEN(CE21)=0,"",LEN(CE21))</f>
        <v/>
      </c>
      <c r="CE21" s="3"/>
      <c r="CF21" s="48" t="str">
        <f t="shared" ref="CF21:CF36" si="102">IF(LEN(CG21)=0,"",LEN(CG21))</f>
        <v/>
      </c>
      <c r="CG21" s="3"/>
      <c r="CH21" s="48" t="str">
        <f t="shared" ref="CH21:CH36" si="103">IF(LEN(CI21)=0,"",LEN(CI21))</f>
        <v/>
      </c>
      <c r="CI21" s="3"/>
      <c r="CJ21" s="48" t="str">
        <f t="shared" ref="CJ21:CJ36" si="104">IF(LEN(CK21)=0,"",LEN(CK21))</f>
        <v/>
      </c>
      <c r="CK21" s="3"/>
      <c r="CL21" s="48" t="str">
        <f t="shared" ref="CL21:CL36" si="105">IF(LEN(CM21)=0,"",LEN(CM21))</f>
        <v/>
      </c>
      <c r="CM21" s="3"/>
      <c r="CN21" s="48" t="str">
        <f t="shared" ref="CN21:CN36" si="106">IF(LEN(CO21)=0,"",LEN(CO21))</f>
        <v/>
      </c>
      <c r="CO21" s="3"/>
      <c r="CP21" s="48" t="str">
        <f t="shared" ref="CP21:CP36" si="107">IF(LEN(CQ21)=0,"",LEN(CQ21))</f>
        <v/>
      </c>
      <c r="CQ21" s="3"/>
      <c r="CR21" s="48" t="str">
        <f t="shared" ref="CR21:CR36" si="108">IF(LEN(CS21)=0,"",LEN(CS21))</f>
        <v/>
      </c>
      <c r="CS21" s="3"/>
      <c r="CT21" s="48" t="str">
        <f t="shared" ref="CT21:CT36" si="109">IF(LEN(CU21)=0,"",LEN(CU21))</f>
        <v/>
      </c>
      <c r="CU21" s="3"/>
      <c r="CV21" s="48" t="str">
        <f t="shared" ref="CV21:CV36" si="110">IF(LEN(CW21)=0,"",LEN(CW21))</f>
        <v/>
      </c>
      <c r="CW21" s="3"/>
      <c r="CX21" s="48" t="str">
        <f t="shared" ref="CX21:CX36" si="111">IF(LEN(CY21)=0,"",LEN(CY21))</f>
        <v/>
      </c>
      <c r="CY21" s="3"/>
      <c r="CZ21" s="48" t="str">
        <f t="shared" ref="CZ21:CZ36" si="112">IF(LEN(DA21)=0,"",LEN(DA21))</f>
        <v/>
      </c>
      <c r="DA21" s="3"/>
      <c r="DB21" s="48" t="str">
        <f t="shared" ref="DB21:DB36" si="113">IF(LEN(DC21)=0,"",LEN(DC21))</f>
        <v/>
      </c>
      <c r="DC21" s="3"/>
      <c r="DD21" s="48" t="str">
        <f t="shared" ref="DD21:DD36" si="114">IF(LEN(DE21)=0,"",LEN(DE21))</f>
        <v/>
      </c>
      <c r="DE21" s="3"/>
      <c r="DF21" s="48" t="str">
        <f t="shared" ref="DF21:DF36" si="115">IF(LEN(DG21)=0,"",LEN(DG21))</f>
        <v/>
      </c>
      <c r="DG21" s="3"/>
      <c r="DH21" s="48" t="str">
        <f t="shared" ref="DH21:DH36" si="116">IF(LEN(DI21)=0,"",LEN(DI21))</f>
        <v/>
      </c>
      <c r="DI21" s="3"/>
      <c r="DJ21" s="48" t="str">
        <f t="shared" ref="DJ21:DJ36" si="117">IF(LEN(DK21)=0,"",LEN(DK21))</f>
        <v/>
      </c>
      <c r="DK21" s="3"/>
      <c r="DL21" s="48" t="str">
        <f t="shared" ref="DL21:DL36" si="118">IF(LEN(DM21)=0,"",LEN(DM21))</f>
        <v/>
      </c>
      <c r="DM21" s="3"/>
      <c r="DN21" s="48" t="str">
        <f t="shared" ref="DN21:DN36" si="119">IF(LEN(DO21)=0,"",LEN(DO21))</f>
        <v/>
      </c>
      <c r="DO21" s="3"/>
      <c r="DP21" s="48" t="str">
        <f t="shared" ref="DP21:DP36" si="120">IF(LEN(DQ21)=0,"",LEN(DQ21))</f>
        <v/>
      </c>
    </row>
    <row r="22" ht="15.75" customHeight="1">
      <c r="A22" s="47" t="s">
        <v>104</v>
      </c>
      <c r="B22" s="48">
        <f t="shared" si="61"/>
        <v>24</v>
      </c>
      <c r="C22" s="54" t="s">
        <v>210</v>
      </c>
      <c r="D22" s="48">
        <f t="shared" si="62"/>
        <v>28</v>
      </c>
      <c r="E22" s="54" t="s">
        <v>211</v>
      </c>
      <c r="F22" s="48">
        <f t="shared" si="63"/>
        <v>25</v>
      </c>
      <c r="G22" s="54" t="s">
        <v>212</v>
      </c>
      <c r="H22" s="48">
        <f t="shared" si="64"/>
        <v>25</v>
      </c>
      <c r="I22" s="54" t="s">
        <v>213</v>
      </c>
      <c r="J22" s="48">
        <f t="shared" si="65"/>
        <v>28</v>
      </c>
      <c r="K22" s="54" t="s">
        <v>214</v>
      </c>
      <c r="L22" s="48">
        <f t="shared" si="66"/>
        <v>28</v>
      </c>
      <c r="M22" s="54" t="s">
        <v>215</v>
      </c>
      <c r="N22" s="48" t="str">
        <f t="shared" si="67"/>
        <v/>
      </c>
      <c r="O22" s="3"/>
      <c r="P22" s="48" t="str">
        <f t="shared" si="68"/>
        <v/>
      </c>
      <c r="Q22" s="3"/>
      <c r="R22" s="48" t="str">
        <f t="shared" si="69"/>
        <v/>
      </c>
      <c r="S22" s="3"/>
      <c r="T22" s="48" t="str">
        <f t="shared" si="70"/>
        <v/>
      </c>
      <c r="U22" s="3"/>
      <c r="V22" s="48" t="str">
        <f t="shared" si="71"/>
        <v/>
      </c>
      <c r="W22" s="3"/>
      <c r="X22" s="48" t="str">
        <f t="shared" si="72"/>
        <v/>
      </c>
      <c r="Y22" s="3"/>
      <c r="Z22" s="48" t="str">
        <f t="shared" si="73"/>
        <v/>
      </c>
      <c r="AA22" s="3"/>
      <c r="AB22" s="48" t="str">
        <f t="shared" si="74"/>
        <v/>
      </c>
      <c r="AC22" s="3"/>
      <c r="AD22" s="48" t="str">
        <f t="shared" si="75"/>
        <v/>
      </c>
      <c r="AE22" s="3"/>
      <c r="AF22" s="48" t="str">
        <f t="shared" si="76"/>
        <v/>
      </c>
      <c r="AG22" s="3"/>
      <c r="AH22" s="48" t="str">
        <f t="shared" si="77"/>
        <v/>
      </c>
      <c r="AI22" s="3"/>
      <c r="AJ22" s="48" t="str">
        <f t="shared" si="78"/>
        <v/>
      </c>
      <c r="AK22" s="3"/>
      <c r="AL22" s="48" t="str">
        <f t="shared" si="79"/>
        <v/>
      </c>
      <c r="AM22" s="3"/>
      <c r="AN22" s="48" t="str">
        <f t="shared" si="80"/>
        <v/>
      </c>
      <c r="AO22" s="3"/>
      <c r="AP22" s="48" t="str">
        <f t="shared" si="81"/>
        <v/>
      </c>
      <c r="AQ22" s="3"/>
      <c r="AR22" s="48" t="str">
        <f t="shared" si="82"/>
        <v/>
      </c>
      <c r="AS22" s="3"/>
      <c r="AT22" s="48" t="str">
        <f t="shared" si="83"/>
        <v/>
      </c>
      <c r="AU22" s="3"/>
      <c r="AV22" s="48" t="str">
        <f t="shared" si="84"/>
        <v/>
      </c>
      <c r="AW22" s="3"/>
      <c r="AX22" s="48" t="str">
        <f t="shared" si="85"/>
        <v/>
      </c>
      <c r="AY22" s="3"/>
      <c r="AZ22" s="48" t="str">
        <f t="shared" si="86"/>
        <v/>
      </c>
      <c r="BA22" s="3"/>
      <c r="BB22" s="48" t="str">
        <f t="shared" si="87"/>
        <v/>
      </c>
      <c r="BC22" s="3"/>
      <c r="BD22" s="48" t="str">
        <f t="shared" si="88"/>
        <v/>
      </c>
      <c r="BE22" s="3"/>
      <c r="BF22" s="48" t="str">
        <f t="shared" si="89"/>
        <v/>
      </c>
      <c r="BG22" s="3"/>
      <c r="BH22" s="48" t="str">
        <f t="shared" si="90"/>
        <v/>
      </c>
      <c r="BI22" s="3"/>
      <c r="BJ22" s="48" t="str">
        <f t="shared" si="91"/>
        <v/>
      </c>
      <c r="BK22" s="3"/>
      <c r="BL22" s="48" t="str">
        <f t="shared" si="92"/>
        <v/>
      </c>
      <c r="BM22" s="3"/>
      <c r="BN22" s="48" t="str">
        <f t="shared" si="93"/>
        <v/>
      </c>
      <c r="BO22" s="3"/>
      <c r="BP22" s="48" t="str">
        <f t="shared" si="94"/>
        <v/>
      </c>
      <c r="BQ22" s="3"/>
      <c r="BR22" s="48" t="str">
        <f t="shared" si="95"/>
        <v/>
      </c>
      <c r="BS22" s="3"/>
      <c r="BT22" s="48" t="str">
        <f t="shared" si="96"/>
        <v/>
      </c>
      <c r="BU22" s="3"/>
      <c r="BV22" s="48" t="str">
        <f t="shared" si="97"/>
        <v/>
      </c>
      <c r="BW22" s="3"/>
      <c r="BX22" s="48" t="str">
        <f t="shared" si="98"/>
        <v/>
      </c>
      <c r="BY22" s="3"/>
      <c r="BZ22" s="48" t="str">
        <f t="shared" si="99"/>
        <v/>
      </c>
      <c r="CA22" s="3"/>
      <c r="CB22" s="48" t="str">
        <f t="shared" si="100"/>
        <v/>
      </c>
      <c r="CC22" s="3"/>
      <c r="CD22" s="48" t="str">
        <f t="shared" si="101"/>
        <v/>
      </c>
      <c r="CE22" s="3"/>
      <c r="CF22" s="48" t="str">
        <f t="shared" si="102"/>
        <v/>
      </c>
      <c r="CG22" s="3"/>
      <c r="CH22" s="48" t="str">
        <f t="shared" si="103"/>
        <v/>
      </c>
      <c r="CI22" s="3"/>
      <c r="CJ22" s="48" t="str">
        <f t="shared" si="104"/>
        <v/>
      </c>
      <c r="CK22" s="3"/>
      <c r="CL22" s="48" t="str">
        <f t="shared" si="105"/>
        <v/>
      </c>
      <c r="CM22" s="3"/>
      <c r="CN22" s="48" t="str">
        <f t="shared" si="106"/>
        <v/>
      </c>
      <c r="CO22" s="3"/>
      <c r="CP22" s="48" t="str">
        <f t="shared" si="107"/>
        <v/>
      </c>
      <c r="CQ22" s="3"/>
      <c r="CR22" s="48" t="str">
        <f t="shared" si="108"/>
        <v/>
      </c>
      <c r="CS22" s="3"/>
      <c r="CT22" s="48" t="str">
        <f t="shared" si="109"/>
        <v/>
      </c>
      <c r="CU22" s="3"/>
      <c r="CV22" s="48" t="str">
        <f t="shared" si="110"/>
        <v/>
      </c>
      <c r="CW22" s="3"/>
      <c r="CX22" s="48" t="str">
        <f t="shared" si="111"/>
        <v/>
      </c>
      <c r="CY22" s="3"/>
      <c r="CZ22" s="48" t="str">
        <f t="shared" si="112"/>
        <v/>
      </c>
      <c r="DA22" s="3"/>
      <c r="DB22" s="48" t="str">
        <f t="shared" si="113"/>
        <v/>
      </c>
      <c r="DC22" s="3"/>
      <c r="DD22" s="48" t="str">
        <f t="shared" si="114"/>
        <v/>
      </c>
      <c r="DE22" s="3"/>
      <c r="DF22" s="48" t="str">
        <f t="shared" si="115"/>
        <v/>
      </c>
      <c r="DG22" s="3"/>
      <c r="DH22" s="48" t="str">
        <f t="shared" si="116"/>
        <v/>
      </c>
      <c r="DI22" s="3"/>
      <c r="DJ22" s="48" t="str">
        <f t="shared" si="117"/>
        <v/>
      </c>
      <c r="DK22" s="3"/>
      <c r="DL22" s="48" t="str">
        <f t="shared" si="118"/>
        <v/>
      </c>
      <c r="DM22" s="3"/>
      <c r="DN22" s="48" t="str">
        <f t="shared" si="119"/>
        <v/>
      </c>
      <c r="DO22" s="3"/>
      <c r="DP22" s="48" t="str">
        <f t="shared" si="120"/>
        <v/>
      </c>
    </row>
    <row r="23" ht="15.75" customHeight="1">
      <c r="A23" s="47" t="s">
        <v>111</v>
      </c>
      <c r="B23" s="48">
        <f t="shared" si="61"/>
        <v>22</v>
      </c>
      <c r="C23" s="54" t="s">
        <v>216</v>
      </c>
      <c r="D23" s="48">
        <f t="shared" si="62"/>
        <v>28</v>
      </c>
      <c r="E23" s="54" t="s">
        <v>217</v>
      </c>
      <c r="F23" s="48">
        <f t="shared" si="63"/>
        <v>30</v>
      </c>
      <c r="G23" s="54" t="s">
        <v>218</v>
      </c>
      <c r="H23" s="48">
        <f t="shared" si="64"/>
        <v>28</v>
      </c>
      <c r="I23" s="54" t="s">
        <v>219</v>
      </c>
      <c r="J23" s="48">
        <f t="shared" si="65"/>
        <v>25</v>
      </c>
      <c r="K23" s="54" t="s">
        <v>220</v>
      </c>
      <c r="L23" s="48">
        <f t="shared" si="66"/>
        <v>27</v>
      </c>
      <c r="M23" s="54" t="s">
        <v>221</v>
      </c>
      <c r="N23" s="48" t="str">
        <f t="shared" si="67"/>
        <v/>
      </c>
      <c r="O23" s="3"/>
      <c r="P23" s="48" t="str">
        <f t="shared" si="68"/>
        <v/>
      </c>
      <c r="Q23" s="3"/>
      <c r="R23" s="48" t="str">
        <f t="shared" si="69"/>
        <v/>
      </c>
      <c r="S23" s="3"/>
      <c r="T23" s="48" t="str">
        <f t="shared" si="70"/>
        <v/>
      </c>
      <c r="U23" s="3"/>
      <c r="V23" s="48" t="str">
        <f t="shared" si="71"/>
        <v/>
      </c>
      <c r="W23" s="3"/>
      <c r="X23" s="48" t="str">
        <f t="shared" si="72"/>
        <v/>
      </c>
      <c r="Y23" s="3"/>
      <c r="Z23" s="48" t="str">
        <f t="shared" si="73"/>
        <v/>
      </c>
      <c r="AA23" s="3"/>
      <c r="AB23" s="48" t="str">
        <f t="shared" si="74"/>
        <v/>
      </c>
      <c r="AC23" s="3"/>
      <c r="AD23" s="48" t="str">
        <f t="shared" si="75"/>
        <v/>
      </c>
      <c r="AE23" s="3"/>
      <c r="AF23" s="48" t="str">
        <f t="shared" si="76"/>
        <v/>
      </c>
      <c r="AG23" s="3"/>
      <c r="AH23" s="48" t="str">
        <f t="shared" si="77"/>
        <v/>
      </c>
      <c r="AI23" s="3"/>
      <c r="AJ23" s="48" t="str">
        <f t="shared" si="78"/>
        <v/>
      </c>
      <c r="AK23" s="3"/>
      <c r="AL23" s="48" t="str">
        <f t="shared" si="79"/>
        <v/>
      </c>
      <c r="AM23" s="3"/>
      <c r="AN23" s="48" t="str">
        <f t="shared" si="80"/>
        <v/>
      </c>
      <c r="AO23" s="3"/>
      <c r="AP23" s="48" t="str">
        <f t="shared" si="81"/>
        <v/>
      </c>
      <c r="AQ23" s="3"/>
      <c r="AR23" s="48" t="str">
        <f t="shared" si="82"/>
        <v/>
      </c>
      <c r="AS23" s="3"/>
      <c r="AT23" s="48" t="str">
        <f t="shared" si="83"/>
        <v/>
      </c>
      <c r="AU23" s="3"/>
      <c r="AV23" s="48" t="str">
        <f t="shared" si="84"/>
        <v/>
      </c>
      <c r="AW23" s="3"/>
      <c r="AX23" s="48" t="str">
        <f t="shared" si="85"/>
        <v/>
      </c>
      <c r="AY23" s="3"/>
      <c r="AZ23" s="48" t="str">
        <f t="shared" si="86"/>
        <v/>
      </c>
      <c r="BA23" s="3"/>
      <c r="BB23" s="48" t="str">
        <f t="shared" si="87"/>
        <v/>
      </c>
      <c r="BC23" s="3"/>
      <c r="BD23" s="48" t="str">
        <f t="shared" si="88"/>
        <v/>
      </c>
      <c r="BE23" s="3"/>
      <c r="BF23" s="48" t="str">
        <f t="shared" si="89"/>
        <v/>
      </c>
      <c r="BG23" s="3"/>
      <c r="BH23" s="48" t="str">
        <f t="shared" si="90"/>
        <v/>
      </c>
      <c r="BI23" s="3"/>
      <c r="BJ23" s="48" t="str">
        <f t="shared" si="91"/>
        <v/>
      </c>
      <c r="BK23" s="3"/>
      <c r="BL23" s="48" t="str">
        <f t="shared" si="92"/>
        <v/>
      </c>
      <c r="BM23" s="3"/>
      <c r="BN23" s="48" t="str">
        <f t="shared" si="93"/>
        <v/>
      </c>
      <c r="BO23" s="3"/>
      <c r="BP23" s="48" t="str">
        <f t="shared" si="94"/>
        <v/>
      </c>
      <c r="BQ23" s="3"/>
      <c r="BR23" s="48" t="str">
        <f t="shared" si="95"/>
        <v/>
      </c>
      <c r="BS23" s="3"/>
      <c r="BT23" s="48" t="str">
        <f t="shared" si="96"/>
        <v/>
      </c>
      <c r="BU23" s="3"/>
      <c r="BV23" s="48" t="str">
        <f t="shared" si="97"/>
        <v/>
      </c>
      <c r="BW23" s="3"/>
      <c r="BX23" s="48" t="str">
        <f t="shared" si="98"/>
        <v/>
      </c>
      <c r="BY23" s="3"/>
      <c r="BZ23" s="48" t="str">
        <f t="shared" si="99"/>
        <v/>
      </c>
      <c r="CA23" s="3"/>
      <c r="CB23" s="48" t="str">
        <f t="shared" si="100"/>
        <v/>
      </c>
      <c r="CC23" s="3"/>
      <c r="CD23" s="48" t="str">
        <f t="shared" si="101"/>
        <v/>
      </c>
      <c r="CE23" s="3"/>
      <c r="CF23" s="48" t="str">
        <f t="shared" si="102"/>
        <v/>
      </c>
      <c r="CG23" s="3"/>
      <c r="CH23" s="48" t="str">
        <f t="shared" si="103"/>
        <v/>
      </c>
      <c r="CI23" s="3"/>
      <c r="CJ23" s="48" t="str">
        <f t="shared" si="104"/>
        <v/>
      </c>
      <c r="CK23" s="3"/>
      <c r="CL23" s="48" t="str">
        <f t="shared" si="105"/>
        <v/>
      </c>
      <c r="CM23" s="3"/>
      <c r="CN23" s="48" t="str">
        <f t="shared" si="106"/>
        <v/>
      </c>
      <c r="CO23" s="3"/>
      <c r="CP23" s="48" t="str">
        <f t="shared" si="107"/>
        <v/>
      </c>
      <c r="CQ23" s="3"/>
      <c r="CR23" s="48" t="str">
        <f t="shared" si="108"/>
        <v/>
      </c>
      <c r="CS23" s="3"/>
      <c r="CT23" s="48" t="str">
        <f t="shared" si="109"/>
        <v/>
      </c>
      <c r="CU23" s="3"/>
      <c r="CV23" s="48" t="str">
        <f t="shared" si="110"/>
        <v/>
      </c>
      <c r="CW23" s="3"/>
      <c r="CX23" s="48" t="str">
        <f t="shared" si="111"/>
        <v/>
      </c>
      <c r="CY23" s="3"/>
      <c r="CZ23" s="48" t="str">
        <f t="shared" si="112"/>
        <v/>
      </c>
      <c r="DA23" s="3"/>
      <c r="DB23" s="48" t="str">
        <f t="shared" si="113"/>
        <v/>
      </c>
      <c r="DC23" s="3"/>
      <c r="DD23" s="48" t="str">
        <f t="shared" si="114"/>
        <v/>
      </c>
      <c r="DE23" s="3"/>
      <c r="DF23" s="48" t="str">
        <f t="shared" si="115"/>
        <v/>
      </c>
      <c r="DG23" s="3"/>
      <c r="DH23" s="48" t="str">
        <f t="shared" si="116"/>
        <v/>
      </c>
      <c r="DI23" s="3"/>
      <c r="DJ23" s="48" t="str">
        <f t="shared" si="117"/>
        <v/>
      </c>
      <c r="DK23" s="3"/>
      <c r="DL23" s="48" t="str">
        <f t="shared" si="118"/>
        <v/>
      </c>
      <c r="DM23" s="3"/>
      <c r="DN23" s="48" t="str">
        <f t="shared" si="119"/>
        <v/>
      </c>
      <c r="DO23" s="3"/>
      <c r="DP23" s="48" t="str">
        <f t="shared" si="120"/>
        <v/>
      </c>
    </row>
    <row r="24" ht="15.75" customHeight="1">
      <c r="A24" s="47" t="s">
        <v>118</v>
      </c>
      <c r="B24" s="48">
        <f t="shared" si="61"/>
        <v>26</v>
      </c>
      <c r="C24" s="54" t="s">
        <v>222</v>
      </c>
      <c r="D24" s="48">
        <f t="shared" si="62"/>
        <v>22</v>
      </c>
      <c r="E24" s="54" t="s">
        <v>223</v>
      </c>
      <c r="F24" s="48">
        <f t="shared" si="63"/>
        <v>27</v>
      </c>
      <c r="G24" s="54" t="s">
        <v>224</v>
      </c>
      <c r="H24" s="48">
        <f t="shared" si="64"/>
        <v>27</v>
      </c>
      <c r="I24" s="54" t="s">
        <v>225</v>
      </c>
      <c r="J24" s="48">
        <f t="shared" si="65"/>
        <v>27</v>
      </c>
      <c r="K24" s="54" t="s">
        <v>226</v>
      </c>
      <c r="L24" s="48">
        <f t="shared" si="66"/>
        <v>25</v>
      </c>
      <c r="M24" s="54" t="s">
        <v>227</v>
      </c>
      <c r="N24" s="48" t="str">
        <f t="shared" si="67"/>
        <v/>
      </c>
      <c r="O24" s="3"/>
      <c r="P24" s="48" t="str">
        <f t="shared" si="68"/>
        <v/>
      </c>
      <c r="Q24" s="3"/>
      <c r="R24" s="48" t="str">
        <f t="shared" si="69"/>
        <v/>
      </c>
      <c r="S24" s="3"/>
      <c r="T24" s="48" t="str">
        <f t="shared" si="70"/>
        <v/>
      </c>
      <c r="U24" s="3"/>
      <c r="V24" s="48" t="str">
        <f t="shared" si="71"/>
        <v/>
      </c>
      <c r="W24" s="3"/>
      <c r="X24" s="48" t="str">
        <f t="shared" si="72"/>
        <v/>
      </c>
      <c r="Y24" s="3"/>
      <c r="Z24" s="48" t="str">
        <f t="shared" si="73"/>
        <v/>
      </c>
      <c r="AA24" s="3"/>
      <c r="AB24" s="48" t="str">
        <f t="shared" si="74"/>
        <v/>
      </c>
      <c r="AC24" s="3"/>
      <c r="AD24" s="48" t="str">
        <f t="shared" si="75"/>
        <v/>
      </c>
      <c r="AE24" s="3"/>
      <c r="AF24" s="48" t="str">
        <f t="shared" si="76"/>
        <v/>
      </c>
      <c r="AG24" s="3"/>
      <c r="AH24" s="48" t="str">
        <f t="shared" si="77"/>
        <v/>
      </c>
      <c r="AI24" s="3"/>
      <c r="AJ24" s="48" t="str">
        <f t="shared" si="78"/>
        <v/>
      </c>
      <c r="AK24" s="3"/>
      <c r="AL24" s="48" t="str">
        <f t="shared" si="79"/>
        <v/>
      </c>
      <c r="AM24" s="3"/>
      <c r="AN24" s="48" t="str">
        <f t="shared" si="80"/>
        <v/>
      </c>
      <c r="AO24" s="3"/>
      <c r="AP24" s="48" t="str">
        <f t="shared" si="81"/>
        <v/>
      </c>
      <c r="AQ24" s="3"/>
      <c r="AR24" s="48" t="str">
        <f t="shared" si="82"/>
        <v/>
      </c>
      <c r="AS24" s="3"/>
      <c r="AT24" s="48" t="str">
        <f t="shared" si="83"/>
        <v/>
      </c>
      <c r="AU24" s="3"/>
      <c r="AV24" s="48" t="str">
        <f t="shared" si="84"/>
        <v/>
      </c>
      <c r="AW24" s="3"/>
      <c r="AX24" s="48" t="str">
        <f t="shared" si="85"/>
        <v/>
      </c>
      <c r="AY24" s="3"/>
      <c r="AZ24" s="48" t="str">
        <f t="shared" si="86"/>
        <v/>
      </c>
      <c r="BA24" s="3"/>
      <c r="BB24" s="48" t="str">
        <f t="shared" si="87"/>
        <v/>
      </c>
      <c r="BC24" s="3"/>
      <c r="BD24" s="48" t="str">
        <f t="shared" si="88"/>
        <v/>
      </c>
      <c r="BE24" s="3"/>
      <c r="BF24" s="48" t="str">
        <f t="shared" si="89"/>
        <v/>
      </c>
      <c r="BG24" s="3"/>
      <c r="BH24" s="48" t="str">
        <f t="shared" si="90"/>
        <v/>
      </c>
      <c r="BI24" s="3"/>
      <c r="BJ24" s="48" t="str">
        <f t="shared" si="91"/>
        <v/>
      </c>
      <c r="BK24" s="3"/>
      <c r="BL24" s="48" t="str">
        <f t="shared" si="92"/>
        <v/>
      </c>
      <c r="BM24" s="3"/>
      <c r="BN24" s="48" t="str">
        <f t="shared" si="93"/>
        <v/>
      </c>
      <c r="BO24" s="3"/>
      <c r="BP24" s="48" t="str">
        <f t="shared" si="94"/>
        <v/>
      </c>
      <c r="BQ24" s="3"/>
      <c r="BR24" s="48" t="str">
        <f t="shared" si="95"/>
        <v/>
      </c>
      <c r="BS24" s="3"/>
      <c r="BT24" s="48" t="str">
        <f t="shared" si="96"/>
        <v/>
      </c>
      <c r="BU24" s="3"/>
      <c r="BV24" s="48" t="str">
        <f t="shared" si="97"/>
        <v/>
      </c>
      <c r="BW24" s="3"/>
      <c r="BX24" s="48" t="str">
        <f t="shared" si="98"/>
        <v/>
      </c>
      <c r="BY24" s="3"/>
      <c r="BZ24" s="48" t="str">
        <f t="shared" si="99"/>
        <v/>
      </c>
      <c r="CA24" s="3"/>
      <c r="CB24" s="48" t="str">
        <f t="shared" si="100"/>
        <v/>
      </c>
      <c r="CC24" s="3"/>
      <c r="CD24" s="48" t="str">
        <f t="shared" si="101"/>
        <v/>
      </c>
      <c r="CE24" s="3"/>
      <c r="CF24" s="48" t="str">
        <f t="shared" si="102"/>
        <v/>
      </c>
      <c r="CG24" s="3"/>
      <c r="CH24" s="48" t="str">
        <f t="shared" si="103"/>
        <v/>
      </c>
      <c r="CI24" s="3"/>
      <c r="CJ24" s="48" t="str">
        <f t="shared" si="104"/>
        <v/>
      </c>
      <c r="CK24" s="3"/>
      <c r="CL24" s="48" t="str">
        <f t="shared" si="105"/>
        <v/>
      </c>
      <c r="CM24" s="3"/>
      <c r="CN24" s="48" t="str">
        <f t="shared" si="106"/>
        <v/>
      </c>
      <c r="CO24" s="3"/>
      <c r="CP24" s="48" t="str">
        <f t="shared" si="107"/>
        <v/>
      </c>
      <c r="CQ24" s="3"/>
      <c r="CR24" s="48" t="str">
        <f t="shared" si="108"/>
        <v/>
      </c>
      <c r="CS24" s="3"/>
      <c r="CT24" s="48" t="str">
        <f t="shared" si="109"/>
        <v/>
      </c>
      <c r="CU24" s="3"/>
      <c r="CV24" s="48" t="str">
        <f t="shared" si="110"/>
        <v/>
      </c>
      <c r="CW24" s="3"/>
      <c r="CX24" s="48" t="str">
        <f t="shared" si="111"/>
        <v/>
      </c>
      <c r="CY24" s="3"/>
      <c r="CZ24" s="48" t="str">
        <f t="shared" si="112"/>
        <v/>
      </c>
      <c r="DA24" s="3"/>
      <c r="DB24" s="48" t="str">
        <f t="shared" si="113"/>
        <v/>
      </c>
      <c r="DC24" s="3"/>
      <c r="DD24" s="48" t="str">
        <f t="shared" si="114"/>
        <v/>
      </c>
      <c r="DE24" s="3"/>
      <c r="DF24" s="48" t="str">
        <f t="shared" si="115"/>
        <v/>
      </c>
      <c r="DG24" s="3"/>
      <c r="DH24" s="48" t="str">
        <f t="shared" si="116"/>
        <v/>
      </c>
      <c r="DI24" s="3"/>
      <c r="DJ24" s="48" t="str">
        <f t="shared" si="117"/>
        <v/>
      </c>
      <c r="DK24" s="3"/>
      <c r="DL24" s="48" t="str">
        <f t="shared" si="118"/>
        <v/>
      </c>
      <c r="DM24" s="3"/>
      <c r="DN24" s="48" t="str">
        <f t="shared" si="119"/>
        <v/>
      </c>
      <c r="DO24" s="3"/>
      <c r="DP24" s="48" t="str">
        <f t="shared" si="120"/>
        <v/>
      </c>
    </row>
    <row r="25" ht="15.75" customHeight="1">
      <c r="A25" s="47" t="s">
        <v>125</v>
      </c>
      <c r="B25" s="48">
        <f t="shared" si="61"/>
        <v>25</v>
      </c>
      <c r="C25" s="54" t="s">
        <v>228</v>
      </c>
      <c r="D25" s="48">
        <f t="shared" si="62"/>
        <v>23</v>
      </c>
      <c r="E25" s="54" t="s">
        <v>229</v>
      </c>
      <c r="F25" s="48">
        <f t="shared" si="63"/>
        <v>28</v>
      </c>
      <c r="G25" s="54" t="s">
        <v>230</v>
      </c>
      <c r="H25" s="48">
        <f t="shared" si="64"/>
        <v>26</v>
      </c>
      <c r="I25" s="54" t="s">
        <v>231</v>
      </c>
      <c r="J25" s="48">
        <f t="shared" si="65"/>
        <v>27</v>
      </c>
      <c r="K25" s="54" t="s">
        <v>232</v>
      </c>
      <c r="L25" s="48">
        <f t="shared" si="66"/>
        <v>28</v>
      </c>
      <c r="M25" s="54" t="s">
        <v>233</v>
      </c>
      <c r="N25" s="48" t="str">
        <f t="shared" si="67"/>
        <v/>
      </c>
      <c r="O25" s="3"/>
      <c r="P25" s="48" t="str">
        <f t="shared" si="68"/>
        <v/>
      </c>
      <c r="Q25" s="3"/>
      <c r="R25" s="48" t="str">
        <f t="shared" si="69"/>
        <v/>
      </c>
      <c r="S25" s="3"/>
      <c r="T25" s="48" t="str">
        <f t="shared" si="70"/>
        <v/>
      </c>
      <c r="U25" s="3"/>
      <c r="V25" s="48" t="str">
        <f t="shared" si="71"/>
        <v/>
      </c>
      <c r="W25" s="3"/>
      <c r="X25" s="48" t="str">
        <f t="shared" si="72"/>
        <v/>
      </c>
      <c r="Y25" s="3"/>
      <c r="Z25" s="48" t="str">
        <f t="shared" si="73"/>
        <v/>
      </c>
      <c r="AA25" s="3"/>
      <c r="AB25" s="48" t="str">
        <f t="shared" si="74"/>
        <v/>
      </c>
      <c r="AC25" s="3"/>
      <c r="AD25" s="48" t="str">
        <f t="shared" si="75"/>
        <v/>
      </c>
      <c r="AE25" s="3"/>
      <c r="AF25" s="48" t="str">
        <f t="shared" si="76"/>
        <v/>
      </c>
      <c r="AG25" s="3"/>
      <c r="AH25" s="48" t="str">
        <f t="shared" si="77"/>
        <v/>
      </c>
      <c r="AI25" s="3"/>
      <c r="AJ25" s="48" t="str">
        <f t="shared" si="78"/>
        <v/>
      </c>
      <c r="AK25" s="3"/>
      <c r="AL25" s="48" t="str">
        <f t="shared" si="79"/>
        <v/>
      </c>
      <c r="AM25" s="3"/>
      <c r="AN25" s="48" t="str">
        <f t="shared" si="80"/>
        <v/>
      </c>
      <c r="AO25" s="3"/>
      <c r="AP25" s="48" t="str">
        <f t="shared" si="81"/>
        <v/>
      </c>
      <c r="AQ25" s="3"/>
      <c r="AR25" s="48" t="str">
        <f t="shared" si="82"/>
        <v/>
      </c>
      <c r="AS25" s="3"/>
      <c r="AT25" s="48" t="str">
        <f t="shared" si="83"/>
        <v/>
      </c>
      <c r="AU25" s="3"/>
      <c r="AV25" s="48" t="str">
        <f t="shared" si="84"/>
        <v/>
      </c>
      <c r="AW25" s="3"/>
      <c r="AX25" s="48" t="str">
        <f t="shared" si="85"/>
        <v/>
      </c>
      <c r="AY25" s="3"/>
      <c r="AZ25" s="48" t="str">
        <f t="shared" si="86"/>
        <v/>
      </c>
      <c r="BA25" s="3"/>
      <c r="BB25" s="48" t="str">
        <f t="shared" si="87"/>
        <v/>
      </c>
      <c r="BC25" s="3"/>
      <c r="BD25" s="48" t="str">
        <f t="shared" si="88"/>
        <v/>
      </c>
      <c r="BE25" s="3"/>
      <c r="BF25" s="48" t="str">
        <f t="shared" si="89"/>
        <v/>
      </c>
      <c r="BG25" s="3"/>
      <c r="BH25" s="48" t="str">
        <f t="shared" si="90"/>
        <v/>
      </c>
      <c r="BI25" s="3"/>
      <c r="BJ25" s="48" t="str">
        <f t="shared" si="91"/>
        <v/>
      </c>
      <c r="BK25" s="3"/>
      <c r="BL25" s="48" t="str">
        <f t="shared" si="92"/>
        <v/>
      </c>
      <c r="BM25" s="3"/>
      <c r="BN25" s="48" t="str">
        <f t="shared" si="93"/>
        <v/>
      </c>
      <c r="BO25" s="3"/>
      <c r="BP25" s="48" t="str">
        <f t="shared" si="94"/>
        <v/>
      </c>
      <c r="BQ25" s="3"/>
      <c r="BR25" s="48" t="str">
        <f t="shared" si="95"/>
        <v/>
      </c>
      <c r="BS25" s="3"/>
      <c r="BT25" s="48" t="str">
        <f t="shared" si="96"/>
        <v/>
      </c>
      <c r="BU25" s="3"/>
      <c r="BV25" s="48" t="str">
        <f t="shared" si="97"/>
        <v/>
      </c>
      <c r="BW25" s="3"/>
      <c r="BX25" s="48" t="str">
        <f t="shared" si="98"/>
        <v/>
      </c>
      <c r="BY25" s="3"/>
      <c r="BZ25" s="48" t="str">
        <f t="shared" si="99"/>
        <v/>
      </c>
      <c r="CA25" s="3"/>
      <c r="CB25" s="48" t="str">
        <f t="shared" si="100"/>
        <v/>
      </c>
      <c r="CC25" s="3"/>
      <c r="CD25" s="48" t="str">
        <f t="shared" si="101"/>
        <v/>
      </c>
      <c r="CE25" s="3"/>
      <c r="CF25" s="48" t="str">
        <f t="shared" si="102"/>
        <v/>
      </c>
      <c r="CG25" s="3"/>
      <c r="CH25" s="48" t="str">
        <f t="shared" si="103"/>
        <v/>
      </c>
      <c r="CI25" s="3"/>
      <c r="CJ25" s="48" t="str">
        <f t="shared" si="104"/>
        <v/>
      </c>
      <c r="CK25" s="3"/>
      <c r="CL25" s="48" t="str">
        <f t="shared" si="105"/>
        <v/>
      </c>
      <c r="CM25" s="3"/>
      <c r="CN25" s="48" t="str">
        <f t="shared" si="106"/>
        <v/>
      </c>
      <c r="CO25" s="3"/>
      <c r="CP25" s="48" t="str">
        <f t="shared" si="107"/>
        <v/>
      </c>
      <c r="CQ25" s="3"/>
      <c r="CR25" s="48" t="str">
        <f t="shared" si="108"/>
        <v/>
      </c>
      <c r="CS25" s="3"/>
      <c r="CT25" s="48" t="str">
        <f t="shared" si="109"/>
        <v/>
      </c>
      <c r="CU25" s="3"/>
      <c r="CV25" s="48" t="str">
        <f t="shared" si="110"/>
        <v/>
      </c>
      <c r="CW25" s="3"/>
      <c r="CX25" s="48" t="str">
        <f t="shared" si="111"/>
        <v/>
      </c>
      <c r="CY25" s="3"/>
      <c r="CZ25" s="48" t="str">
        <f t="shared" si="112"/>
        <v/>
      </c>
      <c r="DA25" s="3"/>
      <c r="DB25" s="48" t="str">
        <f t="shared" si="113"/>
        <v/>
      </c>
      <c r="DC25" s="3"/>
      <c r="DD25" s="48" t="str">
        <f t="shared" si="114"/>
        <v/>
      </c>
      <c r="DE25" s="3"/>
      <c r="DF25" s="48" t="str">
        <f t="shared" si="115"/>
        <v/>
      </c>
      <c r="DG25" s="3"/>
      <c r="DH25" s="48" t="str">
        <f t="shared" si="116"/>
        <v/>
      </c>
      <c r="DI25" s="3"/>
      <c r="DJ25" s="48" t="str">
        <f t="shared" si="117"/>
        <v/>
      </c>
      <c r="DK25" s="3"/>
      <c r="DL25" s="48" t="str">
        <f t="shared" si="118"/>
        <v/>
      </c>
      <c r="DM25" s="3"/>
      <c r="DN25" s="48" t="str">
        <f t="shared" si="119"/>
        <v/>
      </c>
      <c r="DO25" s="3"/>
      <c r="DP25" s="48" t="str">
        <f t="shared" si="120"/>
        <v/>
      </c>
    </row>
    <row r="26" ht="15.75" customHeight="1">
      <c r="A26" s="47" t="s">
        <v>132</v>
      </c>
      <c r="B26" s="48">
        <f t="shared" si="61"/>
        <v>26</v>
      </c>
      <c r="C26" s="54" t="s">
        <v>234</v>
      </c>
      <c r="D26" s="48">
        <f t="shared" si="62"/>
        <v>25</v>
      </c>
      <c r="E26" s="54" t="s">
        <v>235</v>
      </c>
      <c r="F26" s="48">
        <f t="shared" si="63"/>
        <v>25</v>
      </c>
      <c r="G26" s="54" t="s">
        <v>236</v>
      </c>
      <c r="H26" s="48">
        <f t="shared" si="64"/>
        <v>21</v>
      </c>
      <c r="I26" s="54" t="s">
        <v>237</v>
      </c>
      <c r="J26" s="48">
        <f t="shared" si="65"/>
        <v>28</v>
      </c>
      <c r="K26" s="54" t="s">
        <v>238</v>
      </c>
      <c r="L26" s="48">
        <f t="shared" si="66"/>
        <v>29</v>
      </c>
      <c r="M26" s="54" t="s">
        <v>239</v>
      </c>
      <c r="N26" s="48" t="str">
        <f t="shared" si="67"/>
        <v/>
      </c>
      <c r="O26" s="3"/>
      <c r="P26" s="48" t="str">
        <f t="shared" si="68"/>
        <v/>
      </c>
      <c r="Q26" s="3"/>
      <c r="R26" s="48" t="str">
        <f t="shared" si="69"/>
        <v/>
      </c>
      <c r="S26" s="3"/>
      <c r="T26" s="48" t="str">
        <f t="shared" si="70"/>
        <v/>
      </c>
      <c r="U26" s="3"/>
      <c r="V26" s="48" t="str">
        <f t="shared" si="71"/>
        <v/>
      </c>
      <c r="W26" s="3"/>
      <c r="X26" s="48" t="str">
        <f t="shared" si="72"/>
        <v/>
      </c>
      <c r="Y26" s="3"/>
      <c r="Z26" s="48" t="str">
        <f t="shared" si="73"/>
        <v/>
      </c>
      <c r="AA26" s="3"/>
      <c r="AB26" s="48" t="str">
        <f t="shared" si="74"/>
        <v/>
      </c>
      <c r="AC26" s="3"/>
      <c r="AD26" s="48" t="str">
        <f t="shared" si="75"/>
        <v/>
      </c>
      <c r="AE26" s="3"/>
      <c r="AF26" s="48" t="str">
        <f t="shared" si="76"/>
        <v/>
      </c>
      <c r="AG26" s="3"/>
      <c r="AH26" s="48" t="str">
        <f t="shared" si="77"/>
        <v/>
      </c>
      <c r="AI26" s="3"/>
      <c r="AJ26" s="48" t="str">
        <f t="shared" si="78"/>
        <v/>
      </c>
      <c r="AK26" s="3"/>
      <c r="AL26" s="48" t="str">
        <f t="shared" si="79"/>
        <v/>
      </c>
      <c r="AM26" s="3"/>
      <c r="AN26" s="48" t="str">
        <f t="shared" si="80"/>
        <v/>
      </c>
      <c r="AO26" s="3"/>
      <c r="AP26" s="48" t="str">
        <f t="shared" si="81"/>
        <v/>
      </c>
      <c r="AQ26" s="3"/>
      <c r="AR26" s="48" t="str">
        <f t="shared" si="82"/>
        <v/>
      </c>
      <c r="AS26" s="3"/>
      <c r="AT26" s="48" t="str">
        <f t="shared" si="83"/>
        <v/>
      </c>
      <c r="AU26" s="3"/>
      <c r="AV26" s="48" t="str">
        <f t="shared" si="84"/>
        <v/>
      </c>
      <c r="AW26" s="3"/>
      <c r="AX26" s="48" t="str">
        <f t="shared" si="85"/>
        <v/>
      </c>
      <c r="AY26" s="3"/>
      <c r="AZ26" s="48" t="str">
        <f t="shared" si="86"/>
        <v/>
      </c>
      <c r="BA26" s="3"/>
      <c r="BB26" s="48" t="str">
        <f t="shared" si="87"/>
        <v/>
      </c>
      <c r="BC26" s="3"/>
      <c r="BD26" s="48" t="str">
        <f t="shared" si="88"/>
        <v/>
      </c>
      <c r="BE26" s="3"/>
      <c r="BF26" s="48" t="str">
        <f t="shared" si="89"/>
        <v/>
      </c>
      <c r="BG26" s="3"/>
      <c r="BH26" s="48" t="str">
        <f t="shared" si="90"/>
        <v/>
      </c>
      <c r="BI26" s="3"/>
      <c r="BJ26" s="48" t="str">
        <f t="shared" si="91"/>
        <v/>
      </c>
      <c r="BK26" s="3"/>
      <c r="BL26" s="48" t="str">
        <f t="shared" si="92"/>
        <v/>
      </c>
      <c r="BM26" s="3"/>
      <c r="BN26" s="48" t="str">
        <f t="shared" si="93"/>
        <v/>
      </c>
      <c r="BO26" s="3"/>
      <c r="BP26" s="48" t="str">
        <f t="shared" si="94"/>
        <v/>
      </c>
      <c r="BQ26" s="3"/>
      <c r="BR26" s="48" t="str">
        <f t="shared" si="95"/>
        <v/>
      </c>
      <c r="BS26" s="3"/>
      <c r="BT26" s="48" t="str">
        <f t="shared" si="96"/>
        <v/>
      </c>
      <c r="BU26" s="3"/>
      <c r="BV26" s="48" t="str">
        <f t="shared" si="97"/>
        <v/>
      </c>
      <c r="BW26" s="3"/>
      <c r="BX26" s="48" t="str">
        <f t="shared" si="98"/>
        <v/>
      </c>
      <c r="BY26" s="3"/>
      <c r="BZ26" s="48" t="str">
        <f t="shared" si="99"/>
        <v/>
      </c>
      <c r="CA26" s="3"/>
      <c r="CB26" s="48" t="str">
        <f t="shared" si="100"/>
        <v/>
      </c>
      <c r="CC26" s="3"/>
      <c r="CD26" s="48" t="str">
        <f t="shared" si="101"/>
        <v/>
      </c>
      <c r="CE26" s="3"/>
      <c r="CF26" s="48" t="str">
        <f t="shared" si="102"/>
        <v/>
      </c>
      <c r="CG26" s="3"/>
      <c r="CH26" s="48" t="str">
        <f t="shared" si="103"/>
        <v/>
      </c>
      <c r="CI26" s="3"/>
      <c r="CJ26" s="48" t="str">
        <f t="shared" si="104"/>
        <v/>
      </c>
      <c r="CK26" s="3"/>
      <c r="CL26" s="48" t="str">
        <f t="shared" si="105"/>
        <v/>
      </c>
      <c r="CM26" s="3"/>
      <c r="CN26" s="48" t="str">
        <f t="shared" si="106"/>
        <v/>
      </c>
      <c r="CO26" s="3"/>
      <c r="CP26" s="48" t="str">
        <f t="shared" si="107"/>
        <v/>
      </c>
      <c r="CQ26" s="3"/>
      <c r="CR26" s="48" t="str">
        <f t="shared" si="108"/>
        <v/>
      </c>
      <c r="CS26" s="3"/>
      <c r="CT26" s="48" t="str">
        <f t="shared" si="109"/>
        <v/>
      </c>
      <c r="CU26" s="3"/>
      <c r="CV26" s="48" t="str">
        <f t="shared" si="110"/>
        <v/>
      </c>
      <c r="CW26" s="3"/>
      <c r="CX26" s="48" t="str">
        <f t="shared" si="111"/>
        <v/>
      </c>
      <c r="CY26" s="3"/>
      <c r="CZ26" s="48" t="str">
        <f t="shared" si="112"/>
        <v/>
      </c>
      <c r="DA26" s="3"/>
      <c r="DB26" s="48" t="str">
        <f t="shared" si="113"/>
        <v/>
      </c>
      <c r="DC26" s="3"/>
      <c r="DD26" s="48" t="str">
        <f t="shared" si="114"/>
        <v/>
      </c>
      <c r="DE26" s="3"/>
      <c r="DF26" s="48" t="str">
        <f t="shared" si="115"/>
        <v/>
      </c>
      <c r="DG26" s="3"/>
      <c r="DH26" s="48" t="str">
        <f t="shared" si="116"/>
        <v/>
      </c>
      <c r="DI26" s="3"/>
      <c r="DJ26" s="48" t="str">
        <f t="shared" si="117"/>
        <v/>
      </c>
      <c r="DK26" s="3"/>
      <c r="DL26" s="48" t="str">
        <f t="shared" si="118"/>
        <v/>
      </c>
      <c r="DM26" s="3"/>
      <c r="DN26" s="48" t="str">
        <f t="shared" si="119"/>
        <v/>
      </c>
      <c r="DO26" s="3"/>
      <c r="DP26" s="48" t="str">
        <f t="shared" si="120"/>
        <v/>
      </c>
    </row>
    <row r="27" ht="15.75" customHeight="1">
      <c r="A27" s="47" t="s">
        <v>139</v>
      </c>
      <c r="B27" s="48">
        <f t="shared" si="61"/>
        <v>25</v>
      </c>
      <c r="C27" s="54" t="s">
        <v>240</v>
      </c>
      <c r="D27" s="48">
        <f t="shared" si="62"/>
        <v>27</v>
      </c>
      <c r="E27" s="54" t="s">
        <v>241</v>
      </c>
      <c r="F27" s="48">
        <f t="shared" si="63"/>
        <v>28</v>
      </c>
      <c r="G27" s="54" t="s">
        <v>242</v>
      </c>
      <c r="H27" s="48">
        <f t="shared" si="64"/>
        <v>30</v>
      </c>
      <c r="I27" s="54" t="s">
        <v>243</v>
      </c>
      <c r="J27" s="48">
        <f t="shared" si="65"/>
        <v>27</v>
      </c>
      <c r="K27" s="54" t="s">
        <v>244</v>
      </c>
      <c r="L27" s="48">
        <f t="shared" si="66"/>
        <v>27</v>
      </c>
      <c r="M27" s="54" t="s">
        <v>245</v>
      </c>
      <c r="N27" s="48" t="str">
        <f t="shared" si="67"/>
        <v/>
      </c>
      <c r="O27" s="3"/>
      <c r="P27" s="48" t="str">
        <f t="shared" si="68"/>
        <v/>
      </c>
      <c r="Q27" s="3"/>
      <c r="R27" s="48" t="str">
        <f t="shared" si="69"/>
        <v/>
      </c>
      <c r="S27" s="3"/>
      <c r="T27" s="48" t="str">
        <f t="shared" si="70"/>
        <v/>
      </c>
      <c r="U27" s="3"/>
      <c r="V27" s="48" t="str">
        <f t="shared" si="71"/>
        <v/>
      </c>
      <c r="W27" s="3"/>
      <c r="X27" s="48" t="str">
        <f t="shared" si="72"/>
        <v/>
      </c>
      <c r="Y27" s="3"/>
      <c r="Z27" s="48" t="str">
        <f t="shared" si="73"/>
        <v/>
      </c>
      <c r="AA27" s="3"/>
      <c r="AB27" s="48" t="str">
        <f t="shared" si="74"/>
        <v/>
      </c>
      <c r="AC27" s="3"/>
      <c r="AD27" s="48" t="str">
        <f t="shared" si="75"/>
        <v/>
      </c>
      <c r="AE27" s="3"/>
      <c r="AF27" s="48" t="str">
        <f t="shared" si="76"/>
        <v/>
      </c>
      <c r="AG27" s="3"/>
      <c r="AH27" s="48" t="str">
        <f t="shared" si="77"/>
        <v/>
      </c>
      <c r="AI27" s="3"/>
      <c r="AJ27" s="48" t="str">
        <f t="shared" si="78"/>
        <v/>
      </c>
      <c r="AK27" s="3"/>
      <c r="AL27" s="48" t="str">
        <f t="shared" si="79"/>
        <v/>
      </c>
      <c r="AM27" s="3"/>
      <c r="AN27" s="48" t="str">
        <f t="shared" si="80"/>
        <v/>
      </c>
      <c r="AO27" s="3"/>
      <c r="AP27" s="48" t="str">
        <f t="shared" si="81"/>
        <v/>
      </c>
      <c r="AQ27" s="3"/>
      <c r="AR27" s="48" t="str">
        <f t="shared" si="82"/>
        <v/>
      </c>
      <c r="AS27" s="3"/>
      <c r="AT27" s="48" t="str">
        <f t="shared" si="83"/>
        <v/>
      </c>
      <c r="AU27" s="3"/>
      <c r="AV27" s="48" t="str">
        <f t="shared" si="84"/>
        <v/>
      </c>
      <c r="AW27" s="3"/>
      <c r="AX27" s="48" t="str">
        <f t="shared" si="85"/>
        <v/>
      </c>
      <c r="AY27" s="3"/>
      <c r="AZ27" s="48" t="str">
        <f t="shared" si="86"/>
        <v/>
      </c>
      <c r="BA27" s="3"/>
      <c r="BB27" s="48" t="str">
        <f t="shared" si="87"/>
        <v/>
      </c>
      <c r="BC27" s="3"/>
      <c r="BD27" s="48" t="str">
        <f t="shared" si="88"/>
        <v/>
      </c>
      <c r="BE27" s="3"/>
      <c r="BF27" s="48" t="str">
        <f t="shared" si="89"/>
        <v/>
      </c>
      <c r="BG27" s="3"/>
      <c r="BH27" s="48" t="str">
        <f t="shared" si="90"/>
        <v/>
      </c>
      <c r="BI27" s="3"/>
      <c r="BJ27" s="48" t="str">
        <f t="shared" si="91"/>
        <v/>
      </c>
      <c r="BK27" s="3"/>
      <c r="BL27" s="48" t="str">
        <f t="shared" si="92"/>
        <v/>
      </c>
      <c r="BM27" s="3"/>
      <c r="BN27" s="48" t="str">
        <f t="shared" si="93"/>
        <v/>
      </c>
      <c r="BO27" s="3"/>
      <c r="BP27" s="48" t="str">
        <f t="shared" si="94"/>
        <v/>
      </c>
      <c r="BQ27" s="3"/>
      <c r="BR27" s="48" t="str">
        <f t="shared" si="95"/>
        <v/>
      </c>
      <c r="BS27" s="3"/>
      <c r="BT27" s="48" t="str">
        <f t="shared" si="96"/>
        <v/>
      </c>
      <c r="BU27" s="3"/>
      <c r="BV27" s="48" t="str">
        <f t="shared" si="97"/>
        <v/>
      </c>
      <c r="BW27" s="3"/>
      <c r="BX27" s="48" t="str">
        <f t="shared" si="98"/>
        <v/>
      </c>
      <c r="BY27" s="3"/>
      <c r="BZ27" s="48" t="str">
        <f t="shared" si="99"/>
        <v/>
      </c>
      <c r="CA27" s="3"/>
      <c r="CB27" s="48" t="str">
        <f t="shared" si="100"/>
        <v/>
      </c>
      <c r="CC27" s="3"/>
      <c r="CD27" s="48" t="str">
        <f t="shared" si="101"/>
        <v/>
      </c>
      <c r="CE27" s="3"/>
      <c r="CF27" s="48" t="str">
        <f t="shared" si="102"/>
        <v/>
      </c>
      <c r="CG27" s="3"/>
      <c r="CH27" s="48" t="str">
        <f t="shared" si="103"/>
        <v/>
      </c>
      <c r="CI27" s="3"/>
      <c r="CJ27" s="48" t="str">
        <f t="shared" si="104"/>
        <v/>
      </c>
      <c r="CK27" s="3"/>
      <c r="CL27" s="48" t="str">
        <f t="shared" si="105"/>
        <v/>
      </c>
      <c r="CM27" s="3"/>
      <c r="CN27" s="48" t="str">
        <f t="shared" si="106"/>
        <v/>
      </c>
      <c r="CO27" s="3"/>
      <c r="CP27" s="48" t="str">
        <f t="shared" si="107"/>
        <v/>
      </c>
      <c r="CQ27" s="3"/>
      <c r="CR27" s="48" t="str">
        <f t="shared" si="108"/>
        <v/>
      </c>
      <c r="CS27" s="3"/>
      <c r="CT27" s="48" t="str">
        <f t="shared" si="109"/>
        <v/>
      </c>
      <c r="CU27" s="3"/>
      <c r="CV27" s="48" t="str">
        <f t="shared" si="110"/>
        <v/>
      </c>
      <c r="CW27" s="3"/>
      <c r="CX27" s="48" t="str">
        <f t="shared" si="111"/>
        <v/>
      </c>
      <c r="CY27" s="3"/>
      <c r="CZ27" s="48" t="str">
        <f t="shared" si="112"/>
        <v/>
      </c>
      <c r="DA27" s="3"/>
      <c r="DB27" s="48" t="str">
        <f t="shared" si="113"/>
        <v/>
      </c>
      <c r="DC27" s="3"/>
      <c r="DD27" s="48" t="str">
        <f t="shared" si="114"/>
        <v/>
      </c>
      <c r="DE27" s="3"/>
      <c r="DF27" s="48" t="str">
        <f t="shared" si="115"/>
        <v/>
      </c>
      <c r="DG27" s="3"/>
      <c r="DH27" s="48" t="str">
        <f t="shared" si="116"/>
        <v/>
      </c>
      <c r="DI27" s="3"/>
      <c r="DJ27" s="48" t="str">
        <f t="shared" si="117"/>
        <v/>
      </c>
      <c r="DK27" s="3"/>
      <c r="DL27" s="48" t="str">
        <f t="shared" si="118"/>
        <v/>
      </c>
      <c r="DM27" s="3"/>
      <c r="DN27" s="48" t="str">
        <f t="shared" si="119"/>
        <v/>
      </c>
      <c r="DO27" s="3"/>
      <c r="DP27" s="48" t="str">
        <f t="shared" si="120"/>
        <v/>
      </c>
    </row>
    <row r="28" ht="15.75" customHeight="1">
      <c r="A28" s="47" t="s">
        <v>146</v>
      </c>
      <c r="B28" s="48">
        <f t="shared" si="61"/>
        <v>28</v>
      </c>
      <c r="C28" s="54" t="s">
        <v>246</v>
      </c>
      <c r="D28" s="48">
        <f t="shared" si="62"/>
        <v>27</v>
      </c>
      <c r="E28" s="54" t="s">
        <v>247</v>
      </c>
      <c r="F28" s="48">
        <f t="shared" si="63"/>
        <v>27</v>
      </c>
      <c r="G28" s="54" t="s">
        <v>248</v>
      </c>
      <c r="H28" s="48">
        <f t="shared" si="64"/>
        <v>24</v>
      </c>
      <c r="I28" s="54" t="s">
        <v>249</v>
      </c>
      <c r="J28" s="48">
        <f t="shared" si="65"/>
        <v>26</v>
      </c>
      <c r="K28" s="54" t="s">
        <v>250</v>
      </c>
      <c r="L28" s="48">
        <f t="shared" si="66"/>
        <v>26</v>
      </c>
      <c r="M28" s="54" t="s">
        <v>251</v>
      </c>
      <c r="N28" s="48" t="str">
        <f t="shared" si="67"/>
        <v/>
      </c>
      <c r="O28" s="3"/>
      <c r="P28" s="48" t="str">
        <f t="shared" si="68"/>
        <v/>
      </c>
      <c r="Q28" s="3"/>
      <c r="R28" s="48" t="str">
        <f t="shared" si="69"/>
        <v/>
      </c>
      <c r="S28" s="3"/>
      <c r="T28" s="48" t="str">
        <f t="shared" si="70"/>
        <v/>
      </c>
      <c r="U28" s="3"/>
      <c r="V28" s="48" t="str">
        <f t="shared" si="71"/>
        <v/>
      </c>
      <c r="W28" s="3"/>
      <c r="X28" s="48" t="str">
        <f t="shared" si="72"/>
        <v/>
      </c>
      <c r="Y28" s="3"/>
      <c r="Z28" s="48" t="str">
        <f t="shared" si="73"/>
        <v/>
      </c>
      <c r="AA28" s="3"/>
      <c r="AB28" s="48" t="str">
        <f t="shared" si="74"/>
        <v/>
      </c>
      <c r="AC28" s="3"/>
      <c r="AD28" s="48" t="str">
        <f t="shared" si="75"/>
        <v/>
      </c>
      <c r="AE28" s="3"/>
      <c r="AF28" s="48" t="str">
        <f t="shared" si="76"/>
        <v/>
      </c>
      <c r="AG28" s="3"/>
      <c r="AH28" s="48" t="str">
        <f t="shared" si="77"/>
        <v/>
      </c>
      <c r="AI28" s="3"/>
      <c r="AJ28" s="48" t="str">
        <f t="shared" si="78"/>
        <v/>
      </c>
      <c r="AK28" s="3"/>
      <c r="AL28" s="48" t="str">
        <f t="shared" si="79"/>
        <v/>
      </c>
      <c r="AM28" s="3"/>
      <c r="AN28" s="48" t="str">
        <f t="shared" si="80"/>
        <v/>
      </c>
      <c r="AO28" s="3"/>
      <c r="AP28" s="48" t="str">
        <f t="shared" si="81"/>
        <v/>
      </c>
      <c r="AQ28" s="3"/>
      <c r="AR28" s="48" t="str">
        <f t="shared" si="82"/>
        <v/>
      </c>
      <c r="AS28" s="3"/>
      <c r="AT28" s="48" t="str">
        <f t="shared" si="83"/>
        <v/>
      </c>
      <c r="AU28" s="3"/>
      <c r="AV28" s="48" t="str">
        <f t="shared" si="84"/>
        <v/>
      </c>
      <c r="AW28" s="3"/>
      <c r="AX28" s="48" t="str">
        <f t="shared" si="85"/>
        <v/>
      </c>
      <c r="AY28" s="3"/>
      <c r="AZ28" s="48" t="str">
        <f t="shared" si="86"/>
        <v/>
      </c>
      <c r="BA28" s="3"/>
      <c r="BB28" s="48" t="str">
        <f t="shared" si="87"/>
        <v/>
      </c>
      <c r="BC28" s="3"/>
      <c r="BD28" s="48" t="str">
        <f t="shared" si="88"/>
        <v/>
      </c>
      <c r="BE28" s="3"/>
      <c r="BF28" s="48" t="str">
        <f t="shared" si="89"/>
        <v/>
      </c>
      <c r="BG28" s="3"/>
      <c r="BH28" s="48" t="str">
        <f t="shared" si="90"/>
        <v/>
      </c>
      <c r="BI28" s="3"/>
      <c r="BJ28" s="48" t="str">
        <f t="shared" si="91"/>
        <v/>
      </c>
      <c r="BK28" s="3"/>
      <c r="BL28" s="48" t="str">
        <f t="shared" si="92"/>
        <v/>
      </c>
      <c r="BM28" s="3"/>
      <c r="BN28" s="48" t="str">
        <f t="shared" si="93"/>
        <v/>
      </c>
      <c r="BO28" s="3"/>
      <c r="BP28" s="48" t="str">
        <f t="shared" si="94"/>
        <v/>
      </c>
      <c r="BQ28" s="3"/>
      <c r="BR28" s="48" t="str">
        <f t="shared" si="95"/>
        <v/>
      </c>
      <c r="BS28" s="3"/>
      <c r="BT28" s="48" t="str">
        <f t="shared" si="96"/>
        <v/>
      </c>
      <c r="BU28" s="3"/>
      <c r="BV28" s="48" t="str">
        <f t="shared" si="97"/>
        <v/>
      </c>
      <c r="BW28" s="3"/>
      <c r="BX28" s="48" t="str">
        <f t="shared" si="98"/>
        <v/>
      </c>
      <c r="BY28" s="3"/>
      <c r="BZ28" s="48" t="str">
        <f t="shared" si="99"/>
        <v/>
      </c>
      <c r="CA28" s="3"/>
      <c r="CB28" s="48" t="str">
        <f t="shared" si="100"/>
        <v/>
      </c>
      <c r="CC28" s="3"/>
      <c r="CD28" s="48" t="str">
        <f t="shared" si="101"/>
        <v/>
      </c>
      <c r="CE28" s="3"/>
      <c r="CF28" s="48" t="str">
        <f t="shared" si="102"/>
        <v/>
      </c>
      <c r="CG28" s="3"/>
      <c r="CH28" s="48" t="str">
        <f t="shared" si="103"/>
        <v/>
      </c>
      <c r="CI28" s="3"/>
      <c r="CJ28" s="48" t="str">
        <f t="shared" si="104"/>
        <v/>
      </c>
      <c r="CK28" s="3"/>
      <c r="CL28" s="48" t="str">
        <f t="shared" si="105"/>
        <v/>
      </c>
      <c r="CM28" s="3"/>
      <c r="CN28" s="48" t="str">
        <f t="shared" si="106"/>
        <v/>
      </c>
      <c r="CO28" s="3"/>
      <c r="CP28" s="48" t="str">
        <f t="shared" si="107"/>
        <v/>
      </c>
      <c r="CQ28" s="3"/>
      <c r="CR28" s="48" t="str">
        <f t="shared" si="108"/>
        <v/>
      </c>
      <c r="CS28" s="3"/>
      <c r="CT28" s="48" t="str">
        <f t="shared" si="109"/>
        <v/>
      </c>
      <c r="CU28" s="3"/>
      <c r="CV28" s="48" t="str">
        <f t="shared" si="110"/>
        <v/>
      </c>
      <c r="CW28" s="3"/>
      <c r="CX28" s="48" t="str">
        <f t="shared" si="111"/>
        <v/>
      </c>
      <c r="CY28" s="3"/>
      <c r="CZ28" s="48" t="str">
        <f t="shared" si="112"/>
        <v/>
      </c>
      <c r="DA28" s="3"/>
      <c r="DB28" s="48" t="str">
        <f t="shared" si="113"/>
        <v/>
      </c>
      <c r="DC28" s="3"/>
      <c r="DD28" s="48" t="str">
        <f t="shared" si="114"/>
        <v/>
      </c>
      <c r="DE28" s="3"/>
      <c r="DF28" s="48" t="str">
        <f t="shared" si="115"/>
        <v/>
      </c>
      <c r="DG28" s="3"/>
      <c r="DH28" s="48" t="str">
        <f t="shared" si="116"/>
        <v/>
      </c>
      <c r="DI28" s="3"/>
      <c r="DJ28" s="48" t="str">
        <f t="shared" si="117"/>
        <v/>
      </c>
      <c r="DK28" s="3"/>
      <c r="DL28" s="48" t="str">
        <f t="shared" si="118"/>
        <v/>
      </c>
      <c r="DM28" s="3"/>
      <c r="DN28" s="48" t="str">
        <f t="shared" si="119"/>
        <v/>
      </c>
      <c r="DO28" s="3"/>
      <c r="DP28" s="48" t="str">
        <f t="shared" si="120"/>
        <v/>
      </c>
    </row>
    <row r="29" ht="15.75" customHeight="1">
      <c r="A29" s="47" t="s">
        <v>153</v>
      </c>
      <c r="B29" s="48">
        <f t="shared" si="61"/>
        <v>28</v>
      </c>
      <c r="C29" s="54" t="s">
        <v>252</v>
      </c>
      <c r="D29" s="48">
        <f t="shared" si="62"/>
        <v>27</v>
      </c>
      <c r="E29" s="54" t="s">
        <v>253</v>
      </c>
      <c r="F29" s="48">
        <f t="shared" si="63"/>
        <v>27</v>
      </c>
      <c r="G29" s="54" t="s">
        <v>254</v>
      </c>
      <c r="H29" s="48">
        <f t="shared" si="64"/>
        <v>27</v>
      </c>
      <c r="I29" s="54" t="s">
        <v>255</v>
      </c>
      <c r="J29" s="48">
        <f t="shared" si="65"/>
        <v>28</v>
      </c>
      <c r="K29" s="54" t="s">
        <v>256</v>
      </c>
      <c r="L29" s="48">
        <f t="shared" si="66"/>
        <v>29</v>
      </c>
      <c r="M29" s="54" t="s">
        <v>257</v>
      </c>
      <c r="N29" s="48" t="str">
        <f t="shared" si="67"/>
        <v/>
      </c>
      <c r="O29" s="3"/>
      <c r="P29" s="48" t="str">
        <f t="shared" si="68"/>
        <v/>
      </c>
      <c r="Q29" s="3"/>
      <c r="R29" s="48" t="str">
        <f t="shared" si="69"/>
        <v/>
      </c>
      <c r="S29" s="3"/>
      <c r="T29" s="48" t="str">
        <f t="shared" si="70"/>
        <v/>
      </c>
      <c r="U29" s="3"/>
      <c r="V29" s="48" t="str">
        <f t="shared" si="71"/>
        <v/>
      </c>
      <c r="W29" s="3"/>
      <c r="X29" s="48" t="str">
        <f t="shared" si="72"/>
        <v/>
      </c>
      <c r="Y29" s="3"/>
      <c r="Z29" s="48" t="str">
        <f t="shared" si="73"/>
        <v/>
      </c>
      <c r="AA29" s="3"/>
      <c r="AB29" s="48" t="str">
        <f t="shared" si="74"/>
        <v/>
      </c>
      <c r="AC29" s="3"/>
      <c r="AD29" s="48" t="str">
        <f t="shared" si="75"/>
        <v/>
      </c>
      <c r="AE29" s="3"/>
      <c r="AF29" s="48" t="str">
        <f t="shared" si="76"/>
        <v/>
      </c>
      <c r="AG29" s="3"/>
      <c r="AH29" s="48" t="str">
        <f t="shared" si="77"/>
        <v/>
      </c>
      <c r="AI29" s="3"/>
      <c r="AJ29" s="48" t="str">
        <f t="shared" si="78"/>
        <v/>
      </c>
      <c r="AK29" s="3"/>
      <c r="AL29" s="48" t="str">
        <f t="shared" si="79"/>
        <v/>
      </c>
      <c r="AM29" s="3"/>
      <c r="AN29" s="48" t="str">
        <f t="shared" si="80"/>
        <v/>
      </c>
      <c r="AO29" s="3"/>
      <c r="AP29" s="48" t="str">
        <f t="shared" si="81"/>
        <v/>
      </c>
      <c r="AQ29" s="3"/>
      <c r="AR29" s="48" t="str">
        <f t="shared" si="82"/>
        <v/>
      </c>
      <c r="AS29" s="3"/>
      <c r="AT29" s="48" t="str">
        <f t="shared" si="83"/>
        <v/>
      </c>
      <c r="AU29" s="3"/>
      <c r="AV29" s="48" t="str">
        <f t="shared" si="84"/>
        <v/>
      </c>
      <c r="AW29" s="3"/>
      <c r="AX29" s="48" t="str">
        <f t="shared" si="85"/>
        <v/>
      </c>
      <c r="AY29" s="3"/>
      <c r="AZ29" s="48" t="str">
        <f t="shared" si="86"/>
        <v/>
      </c>
      <c r="BA29" s="3"/>
      <c r="BB29" s="48" t="str">
        <f t="shared" si="87"/>
        <v/>
      </c>
      <c r="BC29" s="3"/>
      <c r="BD29" s="48" t="str">
        <f t="shared" si="88"/>
        <v/>
      </c>
      <c r="BE29" s="3"/>
      <c r="BF29" s="48" t="str">
        <f t="shared" si="89"/>
        <v/>
      </c>
      <c r="BG29" s="3"/>
      <c r="BH29" s="48" t="str">
        <f t="shared" si="90"/>
        <v/>
      </c>
      <c r="BI29" s="3"/>
      <c r="BJ29" s="48" t="str">
        <f t="shared" si="91"/>
        <v/>
      </c>
      <c r="BK29" s="3"/>
      <c r="BL29" s="48" t="str">
        <f t="shared" si="92"/>
        <v/>
      </c>
      <c r="BM29" s="3"/>
      <c r="BN29" s="48" t="str">
        <f t="shared" si="93"/>
        <v/>
      </c>
      <c r="BO29" s="3"/>
      <c r="BP29" s="48" t="str">
        <f t="shared" si="94"/>
        <v/>
      </c>
      <c r="BQ29" s="3"/>
      <c r="BR29" s="48" t="str">
        <f t="shared" si="95"/>
        <v/>
      </c>
      <c r="BS29" s="3"/>
      <c r="BT29" s="48" t="str">
        <f t="shared" si="96"/>
        <v/>
      </c>
      <c r="BU29" s="3"/>
      <c r="BV29" s="48" t="str">
        <f t="shared" si="97"/>
        <v/>
      </c>
      <c r="BW29" s="3"/>
      <c r="BX29" s="48" t="str">
        <f t="shared" si="98"/>
        <v/>
      </c>
      <c r="BY29" s="3"/>
      <c r="BZ29" s="48" t="str">
        <f t="shared" si="99"/>
        <v/>
      </c>
      <c r="CA29" s="3"/>
      <c r="CB29" s="48" t="str">
        <f t="shared" si="100"/>
        <v/>
      </c>
      <c r="CC29" s="3"/>
      <c r="CD29" s="48" t="str">
        <f t="shared" si="101"/>
        <v/>
      </c>
      <c r="CE29" s="3"/>
      <c r="CF29" s="48" t="str">
        <f t="shared" si="102"/>
        <v/>
      </c>
      <c r="CG29" s="3"/>
      <c r="CH29" s="48" t="str">
        <f t="shared" si="103"/>
        <v/>
      </c>
      <c r="CI29" s="3"/>
      <c r="CJ29" s="48" t="str">
        <f t="shared" si="104"/>
        <v/>
      </c>
      <c r="CK29" s="3"/>
      <c r="CL29" s="48" t="str">
        <f t="shared" si="105"/>
        <v/>
      </c>
      <c r="CM29" s="3"/>
      <c r="CN29" s="48" t="str">
        <f t="shared" si="106"/>
        <v/>
      </c>
      <c r="CO29" s="3"/>
      <c r="CP29" s="48" t="str">
        <f t="shared" si="107"/>
        <v/>
      </c>
      <c r="CQ29" s="3"/>
      <c r="CR29" s="48" t="str">
        <f t="shared" si="108"/>
        <v/>
      </c>
      <c r="CS29" s="3"/>
      <c r="CT29" s="48" t="str">
        <f t="shared" si="109"/>
        <v/>
      </c>
      <c r="CU29" s="3"/>
      <c r="CV29" s="48" t="str">
        <f t="shared" si="110"/>
        <v/>
      </c>
      <c r="CW29" s="3"/>
      <c r="CX29" s="48" t="str">
        <f t="shared" si="111"/>
        <v/>
      </c>
      <c r="CY29" s="3"/>
      <c r="CZ29" s="48" t="str">
        <f t="shared" si="112"/>
        <v/>
      </c>
      <c r="DA29" s="3"/>
      <c r="DB29" s="48" t="str">
        <f t="shared" si="113"/>
        <v/>
      </c>
      <c r="DC29" s="3"/>
      <c r="DD29" s="48" t="str">
        <f t="shared" si="114"/>
        <v/>
      </c>
      <c r="DE29" s="3"/>
      <c r="DF29" s="48" t="str">
        <f t="shared" si="115"/>
        <v/>
      </c>
      <c r="DG29" s="3"/>
      <c r="DH29" s="48" t="str">
        <f t="shared" si="116"/>
        <v/>
      </c>
      <c r="DI29" s="3"/>
      <c r="DJ29" s="48" t="str">
        <f t="shared" si="117"/>
        <v/>
      </c>
      <c r="DK29" s="3"/>
      <c r="DL29" s="48" t="str">
        <f t="shared" si="118"/>
        <v/>
      </c>
      <c r="DM29" s="3"/>
      <c r="DN29" s="48" t="str">
        <f t="shared" si="119"/>
        <v/>
      </c>
      <c r="DO29" s="3"/>
      <c r="DP29" s="48" t="str">
        <f t="shared" si="120"/>
        <v/>
      </c>
    </row>
    <row r="30" ht="15.75" customHeight="1">
      <c r="A30" s="47" t="s">
        <v>160</v>
      </c>
      <c r="B30" s="48">
        <f t="shared" si="61"/>
        <v>28</v>
      </c>
      <c r="C30" s="54" t="s">
        <v>258</v>
      </c>
      <c r="D30" s="48">
        <f t="shared" si="62"/>
        <v>27</v>
      </c>
      <c r="E30" s="54" t="s">
        <v>259</v>
      </c>
      <c r="F30" s="48">
        <f t="shared" si="63"/>
        <v>27</v>
      </c>
      <c r="G30" s="54" t="s">
        <v>260</v>
      </c>
      <c r="H30" s="48">
        <f t="shared" si="64"/>
        <v>26</v>
      </c>
      <c r="I30" s="54" t="s">
        <v>261</v>
      </c>
      <c r="J30" s="48">
        <f t="shared" si="65"/>
        <v>24</v>
      </c>
      <c r="K30" s="54" t="s">
        <v>262</v>
      </c>
      <c r="L30" s="48">
        <f t="shared" si="66"/>
        <v>27</v>
      </c>
      <c r="M30" s="54" t="s">
        <v>263</v>
      </c>
      <c r="N30" s="48" t="str">
        <f t="shared" si="67"/>
        <v/>
      </c>
      <c r="O30" s="3"/>
      <c r="P30" s="48" t="str">
        <f t="shared" si="68"/>
        <v/>
      </c>
      <c r="Q30" s="3"/>
      <c r="R30" s="48" t="str">
        <f t="shared" si="69"/>
        <v/>
      </c>
      <c r="S30" s="3"/>
      <c r="T30" s="48" t="str">
        <f t="shared" si="70"/>
        <v/>
      </c>
      <c r="U30" s="3"/>
      <c r="V30" s="48" t="str">
        <f t="shared" si="71"/>
        <v/>
      </c>
      <c r="W30" s="3"/>
      <c r="X30" s="48" t="str">
        <f t="shared" si="72"/>
        <v/>
      </c>
      <c r="Y30" s="3"/>
      <c r="Z30" s="48" t="str">
        <f t="shared" si="73"/>
        <v/>
      </c>
      <c r="AA30" s="3"/>
      <c r="AB30" s="48" t="str">
        <f t="shared" si="74"/>
        <v/>
      </c>
      <c r="AC30" s="3"/>
      <c r="AD30" s="48" t="str">
        <f t="shared" si="75"/>
        <v/>
      </c>
      <c r="AE30" s="3"/>
      <c r="AF30" s="48" t="str">
        <f t="shared" si="76"/>
        <v/>
      </c>
      <c r="AG30" s="3"/>
      <c r="AH30" s="48" t="str">
        <f t="shared" si="77"/>
        <v/>
      </c>
      <c r="AI30" s="3"/>
      <c r="AJ30" s="48" t="str">
        <f t="shared" si="78"/>
        <v/>
      </c>
      <c r="AK30" s="3"/>
      <c r="AL30" s="48" t="str">
        <f t="shared" si="79"/>
        <v/>
      </c>
      <c r="AM30" s="3"/>
      <c r="AN30" s="48" t="str">
        <f t="shared" si="80"/>
        <v/>
      </c>
      <c r="AO30" s="3"/>
      <c r="AP30" s="48" t="str">
        <f t="shared" si="81"/>
        <v/>
      </c>
      <c r="AQ30" s="3"/>
      <c r="AR30" s="48" t="str">
        <f t="shared" si="82"/>
        <v/>
      </c>
      <c r="AS30" s="3"/>
      <c r="AT30" s="48" t="str">
        <f t="shared" si="83"/>
        <v/>
      </c>
      <c r="AU30" s="3"/>
      <c r="AV30" s="48" t="str">
        <f t="shared" si="84"/>
        <v/>
      </c>
      <c r="AW30" s="3"/>
      <c r="AX30" s="48" t="str">
        <f t="shared" si="85"/>
        <v/>
      </c>
      <c r="AY30" s="3"/>
      <c r="AZ30" s="48" t="str">
        <f t="shared" si="86"/>
        <v/>
      </c>
      <c r="BA30" s="3"/>
      <c r="BB30" s="48" t="str">
        <f t="shared" si="87"/>
        <v/>
      </c>
      <c r="BC30" s="3"/>
      <c r="BD30" s="48" t="str">
        <f t="shared" si="88"/>
        <v/>
      </c>
      <c r="BE30" s="3"/>
      <c r="BF30" s="48" t="str">
        <f t="shared" si="89"/>
        <v/>
      </c>
      <c r="BG30" s="3"/>
      <c r="BH30" s="48" t="str">
        <f t="shared" si="90"/>
        <v/>
      </c>
      <c r="BI30" s="3"/>
      <c r="BJ30" s="48" t="str">
        <f t="shared" si="91"/>
        <v/>
      </c>
      <c r="BK30" s="3"/>
      <c r="BL30" s="48" t="str">
        <f t="shared" si="92"/>
        <v/>
      </c>
      <c r="BM30" s="3"/>
      <c r="BN30" s="48" t="str">
        <f t="shared" si="93"/>
        <v/>
      </c>
      <c r="BO30" s="3"/>
      <c r="BP30" s="48" t="str">
        <f t="shared" si="94"/>
        <v/>
      </c>
      <c r="BQ30" s="3"/>
      <c r="BR30" s="48" t="str">
        <f t="shared" si="95"/>
        <v/>
      </c>
      <c r="BS30" s="3"/>
      <c r="BT30" s="48" t="str">
        <f t="shared" si="96"/>
        <v/>
      </c>
      <c r="BU30" s="3"/>
      <c r="BV30" s="48" t="str">
        <f t="shared" si="97"/>
        <v/>
      </c>
      <c r="BW30" s="3"/>
      <c r="BX30" s="48" t="str">
        <f t="shared" si="98"/>
        <v/>
      </c>
      <c r="BY30" s="3"/>
      <c r="BZ30" s="48" t="str">
        <f t="shared" si="99"/>
        <v/>
      </c>
      <c r="CA30" s="3"/>
      <c r="CB30" s="48" t="str">
        <f t="shared" si="100"/>
        <v/>
      </c>
      <c r="CC30" s="3"/>
      <c r="CD30" s="48" t="str">
        <f t="shared" si="101"/>
        <v/>
      </c>
      <c r="CE30" s="3"/>
      <c r="CF30" s="48" t="str">
        <f t="shared" si="102"/>
        <v/>
      </c>
      <c r="CG30" s="3"/>
      <c r="CH30" s="48" t="str">
        <f t="shared" si="103"/>
        <v/>
      </c>
      <c r="CI30" s="3"/>
      <c r="CJ30" s="48" t="str">
        <f t="shared" si="104"/>
        <v/>
      </c>
      <c r="CK30" s="3"/>
      <c r="CL30" s="48" t="str">
        <f t="shared" si="105"/>
        <v/>
      </c>
      <c r="CM30" s="3"/>
      <c r="CN30" s="48" t="str">
        <f t="shared" si="106"/>
        <v/>
      </c>
      <c r="CO30" s="3"/>
      <c r="CP30" s="48" t="str">
        <f t="shared" si="107"/>
        <v/>
      </c>
      <c r="CQ30" s="3"/>
      <c r="CR30" s="48" t="str">
        <f t="shared" si="108"/>
        <v/>
      </c>
      <c r="CS30" s="3"/>
      <c r="CT30" s="48" t="str">
        <f t="shared" si="109"/>
        <v/>
      </c>
      <c r="CU30" s="3"/>
      <c r="CV30" s="48" t="str">
        <f t="shared" si="110"/>
        <v/>
      </c>
      <c r="CW30" s="3"/>
      <c r="CX30" s="48" t="str">
        <f t="shared" si="111"/>
        <v/>
      </c>
      <c r="CY30" s="3"/>
      <c r="CZ30" s="48" t="str">
        <f t="shared" si="112"/>
        <v/>
      </c>
      <c r="DA30" s="3"/>
      <c r="DB30" s="48" t="str">
        <f t="shared" si="113"/>
        <v/>
      </c>
      <c r="DC30" s="3"/>
      <c r="DD30" s="48" t="str">
        <f t="shared" si="114"/>
        <v/>
      </c>
      <c r="DE30" s="3"/>
      <c r="DF30" s="48" t="str">
        <f t="shared" si="115"/>
        <v/>
      </c>
      <c r="DG30" s="3"/>
      <c r="DH30" s="48" t="str">
        <f t="shared" si="116"/>
        <v/>
      </c>
      <c r="DI30" s="3"/>
      <c r="DJ30" s="48" t="str">
        <f t="shared" si="117"/>
        <v/>
      </c>
      <c r="DK30" s="3"/>
      <c r="DL30" s="48" t="str">
        <f t="shared" si="118"/>
        <v/>
      </c>
      <c r="DM30" s="3"/>
      <c r="DN30" s="48" t="str">
        <f t="shared" si="119"/>
        <v/>
      </c>
      <c r="DO30" s="3"/>
      <c r="DP30" s="48" t="str">
        <f t="shared" si="120"/>
        <v/>
      </c>
    </row>
    <row r="31" ht="15.75" customHeight="1">
      <c r="A31" s="47" t="s">
        <v>167</v>
      </c>
      <c r="B31" s="48">
        <f t="shared" si="61"/>
        <v>87</v>
      </c>
      <c r="C31" s="54" t="s">
        <v>264</v>
      </c>
      <c r="D31" s="48">
        <f t="shared" si="62"/>
        <v>90</v>
      </c>
      <c r="E31" s="54" t="s">
        <v>265</v>
      </c>
      <c r="F31" s="48">
        <f t="shared" si="63"/>
        <v>84</v>
      </c>
      <c r="G31" s="54" t="s">
        <v>266</v>
      </c>
      <c r="H31" s="48">
        <f t="shared" si="64"/>
        <v>82</v>
      </c>
      <c r="I31" s="54" t="s">
        <v>267</v>
      </c>
      <c r="J31" s="48">
        <f t="shared" si="65"/>
        <v>85</v>
      </c>
      <c r="K31" s="54" t="s">
        <v>268</v>
      </c>
      <c r="L31" s="48">
        <f t="shared" si="66"/>
        <v>89</v>
      </c>
      <c r="M31" s="54" t="s">
        <v>269</v>
      </c>
      <c r="N31" s="48" t="str">
        <f t="shared" si="67"/>
        <v/>
      </c>
      <c r="O31" s="3"/>
      <c r="P31" s="48" t="str">
        <f t="shared" si="68"/>
        <v/>
      </c>
      <c r="Q31" s="3"/>
      <c r="R31" s="48" t="str">
        <f t="shared" si="69"/>
        <v/>
      </c>
      <c r="S31" s="3"/>
      <c r="T31" s="48" t="str">
        <f t="shared" si="70"/>
        <v/>
      </c>
      <c r="U31" s="3"/>
      <c r="V31" s="48" t="str">
        <f t="shared" si="71"/>
        <v/>
      </c>
      <c r="W31" s="3"/>
      <c r="X31" s="48" t="str">
        <f t="shared" si="72"/>
        <v/>
      </c>
      <c r="Y31" s="3"/>
      <c r="Z31" s="48" t="str">
        <f t="shared" si="73"/>
        <v/>
      </c>
      <c r="AA31" s="3"/>
      <c r="AB31" s="48" t="str">
        <f t="shared" si="74"/>
        <v/>
      </c>
      <c r="AC31" s="3"/>
      <c r="AD31" s="48" t="str">
        <f t="shared" si="75"/>
        <v/>
      </c>
      <c r="AE31" s="3"/>
      <c r="AF31" s="48" t="str">
        <f t="shared" si="76"/>
        <v/>
      </c>
      <c r="AG31" s="3"/>
      <c r="AH31" s="48" t="str">
        <f t="shared" si="77"/>
        <v/>
      </c>
      <c r="AI31" s="3"/>
      <c r="AJ31" s="48" t="str">
        <f t="shared" si="78"/>
        <v/>
      </c>
      <c r="AK31" s="3"/>
      <c r="AL31" s="48" t="str">
        <f t="shared" si="79"/>
        <v/>
      </c>
      <c r="AM31" s="3"/>
      <c r="AN31" s="48" t="str">
        <f t="shared" si="80"/>
        <v/>
      </c>
      <c r="AO31" s="3"/>
      <c r="AP31" s="48" t="str">
        <f t="shared" si="81"/>
        <v/>
      </c>
      <c r="AQ31" s="3"/>
      <c r="AR31" s="48" t="str">
        <f t="shared" si="82"/>
        <v/>
      </c>
      <c r="AS31" s="3"/>
      <c r="AT31" s="48" t="str">
        <f t="shared" si="83"/>
        <v/>
      </c>
      <c r="AU31" s="3"/>
      <c r="AV31" s="48" t="str">
        <f t="shared" si="84"/>
        <v/>
      </c>
      <c r="AW31" s="3"/>
      <c r="AX31" s="48" t="str">
        <f t="shared" si="85"/>
        <v/>
      </c>
      <c r="AY31" s="3"/>
      <c r="AZ31" s="48" t="str">
        <f t="shared" si="86"/>
        <v/>
      </c>
      <c r="BA31" s="3"/>
      <c r="BB31" s="48" t="str">
        <f t="shared" si="87"/>
        <v/>
      </c>
      <c r="BC31" s="3"/>
      <c r="BD31" s="48" t="str">
        <f t="shared" si="88"/>
        <v/>
      </c>
      <c r="BE31" s="3"/>
      <c r="BF31" s="48" t="str">
        <f t="shared" si="89"/>
        <v/>
      </c>
      <c r="BG31" s="3"/>
      <c r="BH31" s="48" t="str">
        <f t="shared" si="90"/>
        <v/>
      </c>
      <c r="BI31" s="3"/>
      <c r="BJ31" s="48" t="str">
        <f t="shared" si="91"/>
        <v/>
      </c>
      <c r="BK31" s="3"/>
      <c r="BL31" s="48" t="str">
        <f t="shared" si="92"/>
        <v/>
      </c>
      <c r="BM31" s="3"/>
      <c r="BN31" s="48" t="str">
        <f t="shared" si="93"/>
        <v/>
      </c>
      <c r="BO31" s="3"/>
      <c r="BP31" s="48" t="str">
        <f t="shared" si="94"/>
        <v/>
      </c>
      <c r="BQ31" s="3"/>
      <c r="BR31" s="48" t="str">
        <f t="shared" si="95"/>
        <v/>
      </c>
      <c r="BS31" s="3"/>
      <c r="BT31" s="48" t="str">
        <f t="shared" si="96"/>
        <v/>
      </c>
      <c r="BU31" s="3"/>
      <c r="BV31" s="48" t="str">
        <f t="shared" si="97"/>
        <v/>
      </c>
      <c r="BW31" s="3"/>
      <c r="BX31" s="48" t="str">
        <f t="shared" si="98"/>
        <v/>
      </c>
      <c r="BY31" s="3"/>
      <c r="BZ31" s="48" t="str">
        <f t="shared" si="99"/>
        <v/>
      </c>
      <c r="CA31" s="3"/>
      <c r="CB31" s="48" t="str">
        <f t="shared" si="100"/>
        <v/>
      </c>
      <c r="CC31" s="3"/>
      <c r="CD31" s="48" t="str">
        <f t="shared" si="101"/>
        <v/>
      </c>
      <c r="CE31" s="3"/>
      <c r="CF31" s="48" t="str">
        <f t="shared" si="102"/>
        <v/>
      </c>
      <c r="CG31" s="3"/>
      <c r="CH31" s="48" t="str">
        <f t="shared" si="103"/>
        <v/>
      </c>
      <c r="CI31" s="3"/>
      <c r="CJ31" s="48" t="str">
        <f t="shared" si="104"/>
        <v/>
      </c>
      <c r="CK31" s="3"/>
      <c r="CL31" s="48" t="str">
        <f t="shared" si="105"/>
        <v/>
      </c>
      <c r="CM31" s="3"/>
      <c r="CN31" s="48" t="str">
        <f t="shared" si="106"/>
        <v/>
      </c>
      <c r="CO31" s="3"/>
      <c r="CP31" s="48" t="str">
        <f t="shared" si="107"/>
        <v/>
      </c>
      <c r="CQ31" s="3"/>
      <c r="CR31" s="48" t="str">
        <f t="shared" si="108"/>
        <v/>
      </c>
      <c r="CS31" s="3"/>
      <c r="CT31" s="48" t="str">
        <f t="shared" si="109"/>
        <v/>
      </c>
      <c r="CU31" s="3"/>
      <c r="CV31" s="48" t="str">
        <f t="shared" si="110"/>
        <v/>
      </c>
      <c r="CW31" s="3"/>
      <c r="CX31" s="48" t="str">
        <f t="shared" si="111"/>
        <v/>
      </c>
      <c r="CY31" s="3"/>
      <c r="CZ31" s="48" t="str">
        <f t="shared" si="112"/>
        <v/>
      </c>
      <c r="DA31" s="3"/>
      <c r="DB31" s="48" t="str">
        <f t="shared" si="113"/>
        <v/>
      </c>
      <c r="DC31" s="3"/>
      <c r="DD31" s="48" t="str">
        <f t="shared" si="114"/>
        <v/>
      </c>
      <c r="DE31" s="3"/>
      <c r="DF31" s="48" t="str">
        <f t="shared" si="115"/>
        <v/>
      </c>
      <c r="DG31" s="3"/>
      <c r="DH31" s="48" t="str">
        <f t="shared" si="116"/>
        <v/>
      </c>
      <c r="DI31" s="3"/>
      <c r="DJ31" s="48" t="str">
        <f t="shared" si="117"/>
        <v/>
      </c>
      <c r="DK31" s="3"/>
      <c r="DL31" s="48" t="str">
        <f t="shared" si="118"/>
        <v/>
      </c>
      <c r="DM31" s="3"/>
      <c r="DN31" s="48" t="str">
        <f t="shared" si="119"/>
        <v/>
      </c>
      <c r="DO31" s="3"/>
      <c r="DP31" s="48" t="str">
        <f t="shared" si="120"/>
        <v/>
      </c>
    </row>
    <row r="32" ht="15.75" customHeight="1">
      <c r="A32" s="47" t="s">
        <v>174</v>
      </c>
      <c r="B32" s="48">
        <f t="shared" si="61"/>
        <v>87</v>
      </c>
      <c r="C32" s="54" t="s">
        <v>270</v>
      </c>
      <c r="D32" s="48">
        <f t="shared" si="62"/>
        <v>84</v>
      </c>
      <c r="E32" s="54" t="s">
        <v>271</v>
      </c>
      <c r="F32" s="48">
        <f t="shared" si="63"/>
        <v>84</v>
      </c>
      <c r="G32" s="54" t="s">
        <v>272</v>
      </c>
      <c r="H32" s="48">
        <f t="shared" si="64"/>
        <v>90</v>
      </c>
      <c r="I32" s="54" t="s">
        <v>273</v>
      </c>
      <c r="J32" s="48">
        <f t="shared" si="65"/>
        <v>84</v>
      </c>
      <c r="K32" s="54" t="s">
        <v>274</v>
      </c>
      <c r="L32" s="48">
        <f t="shared" si="66"/>
        <v>89</v>
      </c>
      <c r="M32" s="54" t="s">
        <v>275</v>
      </c>
      <c r="N32" s="48" t="str">
        <f t="shared" si="67"/>
        <v/>
      </c>
      <c r="O32" s="3"/>
      <c r="P32" s="48" t="str">
        <f t="shared" si="68"/>
        <v/>
      </c>
      <c r="Q32" s="3"/>
      <c r="R32" s="48" t="str">
        <f t="shared" si="69"/>
        <v/>
      </c>
      <c r="S32" s="3"/>
      <c r="T32" s="48" t="str">
        <f t="shared" si="70"/>
        <v/>
      </c>
      <c r="U32" s="3"/>
      <c r="V32" s="48" t="str">
        <f t="shared" si="71"/>
        <v/>
      </c>
      <c r="W32" s="3"/>
      <c r="X32" s="48" t="str">
        <f t="shared" si="72"/>
        <v/>
      </c>
      <c r="Y32" s="3"/>
      <c r="Z32" s="48" t="str">
        <f t="shared" si="73"/>
        <v/>
      </c>
      <c r="AA32" s="3"/>
      <c r="AB32" s="48" t="str">
        <f t="shared" si="74"/>
        <v/>
      </c>
      <c r="AC32" s="3"/>
      <c r="AD32" s="48" t="str">
        <f t="shared" si="75"/>
        <v/>
      </c>
      <c r="AE32" s="3"/>
      <c r="AF32" s="48" t="str">
        <f t="shared" si="76"/>
        <v/>
      </c>
      <c r="AG32" s="3"/>
      <c r="AH32" s="48" t="str">
        <f t="shared" si="77"/>
        <v/>
      </c>
      <c r="AI32" s="3"/>
      <c r="AJ32" s="48" t="str">
        <f t="shared" si="78"/>
        <v/>
      </c>
      <c r="AK32" s="3"/>
      <c r="AL32" s="48" t="str">
        <f t="shared" si="79"/>
        <v/>
      </c>
      <c r="AM32" s="3"/>
      <c r="AN32" s="48" t="str">
        <f t="shared" si="80"/>
        <v/>
      </c>
      <c r="AO32" s="3"/>
      <c r="AP32" s="48" t="str">
        <f t="shared" si="81"/>
        <v/>
      </c>
      <c r="AQ32" s="3"/>
      <c r="AR32" s="48" t="str">
        <f t="shared" si="82"/>
        <v/>
      </c>
      <c r="AS32" s="3"/>
      <c r="AT32" s="48" t="str">
        <f t="shared" si="83"/>
        <v/>
      </c>
      <c r="AU32" s="3"/>
      <c r="AV32" s="48" t="str">
        <f t="shared" si="84"/>
        <v/>
      </c>
      <c r="AW32" s="3"/>
      <c r="AX32" s="48" t="str">
        <f t="shared" si="85"/>
        <v/>
      </c>
      <c r="AY32" s="3"/>
      <c r="AZ32" s="48" t="str">
        <f t="shared" si="86"/>
        <v/>
      </c>
      <c r="BA32" s="3"/>
      <c r="BB32" s="48" t="str">
        <f t="shared" si="87"/>
        <v/>
      </c>
      <c r="BC32" s="3"/>
      <c r="BD32" s="48" t="str">
        <f t="shared" si="88"/>
        <v/>
      </c>
      <c r="BE32" s="3"/>
      <c r="BF32" s="48" t="str">
        <f t="shared" si="89"/>
        <v/>
      </c>
      <c r="BG32" s="3"/>
      <c r="BH32" s="48" t="str">
        <f t="shared" si="90"/>
        <v/>
      </c>
      <c r="BI32" s="3"/>
      <c r="BJ32" s="48" t="str">
        <f t="shared" si="91"/>
        <v/>
      </c>
      <c r="BK32" s="3"/>
      <c r="BL32" s="48" t="str">
        <f t="shared" si="92"/>
        <v/>
      </c>
      <c r="BM32" s="3"/>
      <c r="BN32" s="48" t="str">
        <f t="shared" si="93"/>
        <v/>
      </c>
      <c r="BO32" s="3"/>
      <c r="BP32" s="48" t="str">
        <f t="shared" si="94"/>
        <v/>
      </c>
      <c r="BQ32" s="3"/>
      <c r="BR32" s="48" t="str">
        <f t="shared" si="95"/>
        <v/>
      </c>
      <c r="BS32" s="3"/>
      <c r="BT32" s="48" t="str">
        <f t="shared" si="96"/>
        <v/>
      </c>
      <c r="BU32" s="3"/>
      <c r="BV32" s="48" t="str">
        <f t="shared" si="97"/>
        <v/>
      </c>
      <c r="BW32" s="3"/>
      <c r="BX32" s="48" t="str">
        <f t="shared" si="98"/>
        <v/>
      </c>
      <c r="BY32" s="3"/>
      <c r="BZ32" s="48" t="str">
        <f t="shared" si="99"/>
        <v/>
      </c>
      <c r="CA32" s="3"/>
      <c r="CB32" s="48" t="str">
        <f t="shared" si="100"/>
        <v/>
      </c>
      <c r="CC32" s="3"/>
      <c r="CD32" s="48" t="str">
        <f t="shared" si="101"/>
        <v/>
      </c>
      <c r="CE32" s="3"/>
      <c r="CF32" s="48" t="str">
        <f t="shared" si="102"/>
        <v/>
      </c>
      <c r="CG32" s="3"/>
      <c r="CH32" s="48" t="str">
        <f t="shared" si="103"/>
        <v/>
      </c>
      <c r="CI32" s="3"/>
      <c r="CJ32" s="48" t="str">
        <f t="shared" si="104"/>
        <v/>
      </c>
      <c r="CK32" s="3"/>
      <c r="CL32" s="48" t="str">
        <f t="shared" si="105"/>
        <v/>
      </c>
      <c r="CM32" s="3"/>
      <c r="CN32" s="48" t="str">
        <f t="shared" si="106"/>
        <v/>
      </c>
      <c r="CO32" s="3"/>
      <c r="CP32" s="48" t="str">
        <f t="shared" si="107"/>
        <v/>
      </c>
      <c r="CQ32" s="3"/>
      <c r="CR32" s="48" t="str">
        <f t="shared" si="108"/>
        <v/>
      </c>
      <c r="CS32" s="3"/>
      <c r="CT32" s="48" t="str">
        <f t="shared" si="109"/>
        <v/>
      </c>
      <c r="CU32" s="3"/>
      <c r="CV32" s="48" t="str">
        <f t="shared" si="110"/>
        <v/>
      </c>
      <c r="CW32" s="3"/>
      <c r="CX32" s="48" t="str">
        <f t="shared" si="111"/>
        <v/>
      </c>
      <c r="CY32" s="3"/>
      <c r="CZ32" s="48" t="str">
        <f t="shared" si="112"/>
        <v/>
      </c>
      <c r="DA32" s="3"/>
      <c r="DB32" s="48" t="str">
        <f t="shared" si="113"/>
        <v/>
      </c>
      <c r="DC32" s="3"/>
      <c r="DD32" s="48" t="str">
        <f t="shared" si="114"/>
        <v/>
      </c>
      <c r="DE32" s="3"/>
      <c r="DF32" s="48" t="str">
        <f t="shared" si="115"/>
        <v/>
      </c>
      <c r="DG32" s="3"/>
      <c r="DH32" s="48" t="str">
        <f t="shared" si="116"/>
        <v/>
      </c>
      <c r="DI32" s="3"/>
      <c r="DJ32" s="48" t="str">
        <f t="shared" si="117"/>
        <v/>
      </c>
      <c r="DK32" s="3"/>
      <c r="DL32" s="48" t="str">
        <f t="shared" si="118"/>
        <v/>
      </c>
      <c r="DM32" s="3"/>
      <c r="DN32" s="48" t="str">
        <f t="shared" si="119"/>
        <v/>
      </c>
      <c r="DO32" s="3"/>
      <c r="DP32" s="48" t="str">
        <f t="shared" si="120"/>
        <v/>
      </c>
    </row>
    <row r="33" ht="15.75" customHeight="1">
      <c r="A33" s="47" t="s">
        <v>181</v>
      </c>
      <c r="B33" s="48">
        <f t="shared" si="61"/>
        <v>87</v>
      </c>
      <c r="C33" s="54" t="s">
        <v>276</v>
      </c>
      <c r="D33" s="48">
        <f t="shared" si="62"/>
        <v>81</v>
      </c>
      <c r="E33" s="54" t="s">
        <v>277</v>
      </c>
      <c r="F33" s="48">
        <f t="shared" si="63"/>
        <v>87</v>
      </c>
      <c r="G33" s="54" t="s">
        <v>278</v>
      </c>
      <c r="H33" s="48">
        <f t="shared" si="64"/>
        <v>81</v>
      </c>
      <c r="I33" s="54" t="s">
        <v>279</v>
      </c>
      <c r="J33" s="48">
        <f t="shared" si="65"/>
        <v>84</v>
      </c>
      <c r="K33" s="54" t="s">
        <v>280</v>
      </c>
      <c r="L33" s="48">
        <f t="shared" si="66"/>
        <v>87</v>
      </c>
      <c r="M33" s="54" t="s">
        <v>281</v>
      </c>
      <c r="N33" s="48" t="str">
        <f t="shared" si="67"/>
        <v/>
      </c>
      <c r="O33" s="3"/>
      <c r="P33" s="48" t="str">
        <f t="shared" si="68"/>
        <v/>
      </c>
      <c r="Q33" s="3"/>
      <c r="R33" s="48" t="str">
        <f t="shared" si="69"/>
        <v/>
      </c>
      <c r="S33" s="3"/>
      <c r="T33" s="48" t="str">
        <f t="shared" si="70"/>
        <v/>
      </c>
      <c r="U33" s="3"/>
      <c r="V33" s="48" t="str">
        <f t="shared" si="71"/>
        <v/>
      </c>
      <c r="W33" s="3"/>
      <c r="X33" s="48" t="str">
        <f t="shared" si="72"/>
        <v/>
      </c>
      <c r="Y33" s="3"/>
      <c r="Z33" s="48" t="str">
        <f t="shared" si="73"/>
        <v/>
      </c>
      <c r="AA33" s="3"/>
      <c r="AB33" s="48" t="str">
        <f t="shared" si="74"/>
        <v/>
      </c>
      <c r="AC33" s="3"/>
      <c r="AD33" s="48" t="str">
        <f t="shared" si="75"/>
        <v/>
      </c>
      <c r="AE33" s="3"/>
      <c r="AF33" s="48" t="str">
        <f t="shared" si="76"/>
        <v/>
      </c>
      <c r="AG33" s="3"/>
      <c r="AH33" s="48" t="str">
        <f t="shared" si="77"/>
        <v/>
      </c>
      <c r="AI33" s="3"/>
      <c r="AJ33" s="48" t="str">
        <f t="shared" si="78"/>
        <v/>
      </c>
      <c r="AK33" s="3"/>
      <c r="AL33" s="48" t="str">
        <f t="shared" si="79"/>
        <v/>
      </c>
      <c r="AM33" s="3"/>
      <c r="AN33" s="48" t="str">
        <f t="shared" si="80"/>
        <v/>
      </c>
      <c r="AO33" s="3"/>
      <c r="AP33" s="48" t="str">
        <f t="shared" si="81"/>
        <v/>
      </c>
      <c r="AQ33" s="3"/>
      <c r="AR33" s="48" t="str">
        <f t="shared" si="82"/>
        <v/>
      </c>
      <c r="AS33" s="3"/>
      <c r="AT33" s="48" t="str">
        <f t="shared" si="83"/>
        <v/>
      </c>
      <c r="AU33" s="3"/>
      <c r="AV33" s="48" t="str">
        <f t="shared" si="84"/>
        <v/>
      </c>
      <c r="AW33" s="3"/>
      <c r="AX33" s="48" t="str">
        <f t="shared" si="85"/>
        <v/>
      </c>
      <c r="AY33" s="3"/>
      <c r="AZ33" s="48" t="str">
        <f t="shared" si="86"/>
        <v/>
      </c>
      <c r="BA33" s="3"/>
      <c r="BB33" s="48" t="str">
        <f t="shared" si="87"/>
        <v/>
      </c>
      <c r="BC33" s="3"/>
      <c r="BD33" s="48" t="str">
        <f t="shared" si="88"/>
        <v/>
      </c>
      <c r="BE33" s="3"/>
      <c r="BF33" s="48" t="str">
        <f t="shared" si="89"/>
        <v/>
      </c>
      <c r="BG33" s="3"/>
      <c r="BH33" s="48" t="str">
        <f t="shared" si="90"/>
        <v/>
      </c>
      <c r="BI33" s="3"/>
      <c r="BJ33" s="48" t="str">
        <f t="shared" si="91"/>
        <v/>
      </c>
      <c r="BK33" s="3"/>
      <c r="BL33" s="48" t="str">
        <f t="shared" si="92"/>
        <v/>
      </c>
      <c r="BM33" s="3"/>
      <c r="BN33" s="48" t="str">
        <f t="shared" si="93"/>
        <v/>
      </c>
      <c r="BO33" s="3"/>
      <c r="BP33" s="48" t="str">
        <f t="shared" si="94"/>
        <v/>
      </c>
      <c r="BQ33" s="3"/>
      <c r="BR33" s="48" t="str">
        <f t="shared" si="95"/>
        <v/>
      </c>
      <c r="BS33" s="3"/>
      <c r="BT33" s="48" t="str">
        <f t="shared" si="96"/>
        <v/>
      </c>
      <c r="BU33" s="3"/>
      <c r="BV33" s="48" t="str">
        <f t="shared" si="97"/>
        <v/>
      </c>
      <c r="BW33" s="3"/>
      <c r="BX33" s="48" t="str">
        <f t="shared" si="98"/>
        <v/>
      </c>
      <c r="BY33" s="3"/>
      <c r="BZ33" s="48" t="str">
        <f t="shared" si="99"/>
        <v/>
      </c>
      <c r="CA33" s="3"/>
      <c r="CB33" s="48" t="str">
        <f t="shared" si="100"/>
        <v/>
      </c>
      <c r="CC33" s="3"/>
      <c r="CD33" s="48" t="str">
        <f t="shared" si="101"/>
        <v/>
      </c>
      <c r="CE33" s="3"/>
      <c r="CF33" s="48" t="str">
        <f t="shared" si="102"/>
        <v/>
      </c>
      <c r="CG33" s="3"/>
      <c r="CH33" s="48" t="str">
        <f t="shared" si="103"/>
        <v/>
      </c>
      <c r="CI33" s="3"/>
      <c r="CJ33" s="48" t="str">
        <f t="shared" si="104"/>
        <v/>
      </c>
      <c r="CK33" s="3"/>
      <c r="CL33" s="48" t="str">
        <f t="shared" si="105"/>
        <v/>
      </c>
      <c r="CM33" s="3"/>
      <c r="CN33" s="48" t="str">
        <f t="shared" si="106"/>
        <v/>
      </c>
      <c r="CO33" s="3"/>
      <c r="CP33" s="48" t="str">
        <f t="shared" si="107"/>
        <v/>
      </c>
      <c r="CQ33" s="3"/>
      <c r="CR33" s="48" t="str">
        <f t="shared" si="108"/>
        <v/>
      </c>
      <c r="CS33" s="3"/>
      <c r="CT33" s="48" t="str">
        <f t="shared" si="109"/>
        <v/>
      </c>
      <c r="CU33" s="3"/>
      <c r="CV33" s="48" t="str">
        <f t="shared" si="110"/>
        <v/>
      </c>
      <c r="CW33" s="3"/>
      <c r="CX33" s="48" t="str">
        <f t="shared" si="111"/>
        <v/>
      </c>
      <c r="CY33" s="3"/>
      <c r="CZ33" s="48" t="str">
        <f t="shared" si="112"/>
        <v/>
      </c>
      <c r="DA33" s="3"/>
      <c r="DB33" s="48" t="str">
        <f t="shared" si="113"/>
        <v/>
      </c>
      <c r="DC33" s="3"/>
      <c r="DD33" s="48" t="str">
        <f t="shared" si="114"/>
        <v/>
      </c>
      <c r="DE33" s="3"/>
      <c r="DF33" s="48" t="str">
        <f t="shared" si="115"/>
        <v/>
      </c>
      <c r="DG33" s="3"/>
      <c r="DH33" s="48" t="str">
        <f t="shared" si="116"/>
        <v/>
      </c>
      <c r="DI33" s="3"/>
      <c r="DJ33" s="48" t="str">
        <f t="shared" si="117"/>
        <v/>
      </c>
      <c r="DK33" s="3"/>
      <c r="DL33" s="48" t="str">
        <f t="shared" si="118"/>
        <v/>
      </c>
      <c r="DM33" s="3"/>
      <c r="DN33" s="48" t="str">
        <f t="shared" si="119"/>
        <v/>
      </c>
      <c r="DO33" s="3"/>
      <c r="DP33" s="48" t="str">
        <f t="shared" si="120"/>
        <v/>
      </c>
    </row>
    <row r="34" ht="15.75" customHeight="1">
      <c r="A34" s="47" t="s">
        <v>188</v>
      </c>
      <c r="B34" s="48">
        <f t="shared" si="61"/>
        <v>85</v>
      </c>
      <c r="C34" s="54" t="s">
        <v>282</v>
      </c>
      <c r="D34" s="48">
        <f t="shared" si="62"/>
        <v>89</v>
      </c>
      <c r="E34" s="54" t="s">
        <v>283</v>
      </c>
      <c r="F34" s="48">
        <f t="shared" si="63"/>
        <v>86</v>
      </c>
      <c r="G34" s="54" t="s">
        <v>284</v>
      </c>
      <c r="H34" s="48">
        <f t="shared" si="64"/>
        <v>87</v>
      </c>
      <c r="I34" s="54" t="s">
        <v>285</v>
      </c>
      <c r="J34" s="48">
        <f t="shared" si="65"/>
        <v>86</v>
      </c>
      <c r="K34" s="54" t="s">
        <v>286</v>
      </c>
      <c r="L34" s="48">
        <f t="shared" si="66"/>
        <v>82</v>
      </c>
      <c r="M34" s="54" t="s">
        <v>287</v>
      </c>
      <c r="N34" s="48" t="str">
        <f t="shared" si="67"/>
        <v/>
      </c>
      <c r="O34" s="3"/>
      <c r="P34" s="48" t="str">
        <f t="shared" si="68"/>
        <v/>
      </c>
      <c r="Q34" s="3"/>
      <c r="R34" s="48" t="str">
        <f t="shared" si="69"/>
        <v/>
      </c>
      <c r="S34" s="3"/>
      <c r="T34" s="48" t="str">
        <f t="shared" si="70"/>
        <v/>
      </c>
      <c r="U34" s="3"/>
      <c r="V34" s="48" t="str">
        <f t="shared" si="71"/>
        <v/>
      </c>
      <c r="W34" s="3"/>
      <c r="X34" s="48" t="str">
        <f t="shared" si="72"/>
        <v/>
      </c>
      <c r="Y34" s="3"/>
      <c r="Z34" s="48" t="str">
        <f t="shared" si="73"/>
        <v/>
      </c>
      <c r="AA34" s="3"/>
      <c r="AB34" s="48" t="str">
        <f t="shared" si="74"/>
        <v/>
      </c>
      <c r="AC34" s="3"/>
      <c r="AD34" s="48" t="str">
        <f t="shared" si="75"/>
        <v/>
      </c>
      <c r="AE34" s="3"/>
      <c r="AF34" s="48" t="str">
        <f t="shared" si="76"/>
        <v/>
      </c>
      <c r="AG34" s="3"/>
      <c r="AH34" s="48" t="str">
        <f t="shared" si="77"/>
        <v/>
      </c>
      <c r="AI34" s="3"/>
      <c r="AJ34" s="48" t="str">
        <f t="shared" si="78"/>
        <v/>
      </c>
      <c r="AK34" s="3"/>
      <c r="AL34" s="48" t="str">
        <f t="shared" si="79"/>
        <v/>
      </c>
      <c r="AM34" s="3"/>
      <c r="AN34" s="48" t="str">
        <f t="shared" si="80"/>
        <v/>
      </c>
      <c r="AO34" s="3"/>
      <c r="AP34" s="48" t="str">
        <f t="shared" si="81"/>
        <v/>
      </c>
      <c r="AQ34" s="3"/>
      <c r="AR34" s="48" t="str">
        <f t="shared" si="82"/>
        <v/>
      </c>
      <c r="AS34" s="3"/>
      <c r="AT34" s="48" t="str">
        <f t="shared" si="83"/>
        <v/>
      </c>
      <c r="AU34" s="3"/>
      <c r="AV34" s="48" t="str">
        <f t="shared" si="84"/>
        <v/>
      </c>
      <c r="AW34" s="3"/>
      <c r="AX34" s="48" t="str">
        <f t="shared" si="85"/>
        <v/>
      </c>
      <c r="AY34" s="3"/>
      <c r="AZ34" s="48" t="str">
        <f t="shared" si="86"/>
        <v/>
      </c>
      <c r="BA34" s="3"/>
      <c r="BB34" s="48" t="str">
        <f t="shared" si="87"/>
        <v/>
      </c>
      <c r="BC34" s="3"/>
      <c r="BD34" s="48" t="str">
        <f t="shared" si="88"/>
        <v/>
      </c>
      <c r="BE34" s="3"/>
      <c r="BF34" s="48" t="str">
        <f t="shared" si="89"/>
        <v/>
      </c>
      <c r="BG34" s="3"/>
      <c r="BH34" s="48" t="str">
        <f t="shared" si="90"/>
        <v/>
      </c>
      <c r="BI34" s="3"/>
      <c r="BJ34" s="48" t="str">
        <f t="shared" si="91"/>
        <v/>
      </c>
      <c r="BK34" s="3"/>
      <c r="BL34" s="48" t="str">
        <f t="shared" si="92"/>
        <v/>
      </c>
      <c r="BM34" s="3"/>
      <c r="BN34" s="48" t="str">
        <f t="shared" si="93"/>
        <v/>
      </c>
      <c r="BO34" s="3"/>
      <c r="BP34" s="48" t="str">
        <f t="shared" si="94"/>
        <v/>
      </c>
      <c r="BQ34" s="3"/>
      <c r="BR34" s="48" t="str">
        <f t="shared" si="95"/>
        <v/>
      </c>
      <c r="BS34" s="3"/>
      <c r="BT34" s="48" t="str">
        <f t="shared" si="96"/>
        <v/>
      </c>
      <c r="BU34" s="3"/>
      <c r="BV34" s="48" t="str">
        <f t="shared" si="97"/>
        <v/>
      </c>
      <c r="BW34" s="3"/>
      <c r="BX34" s="48" t="str">
        <f t="shared" si="98"/>
        <v/>
      </c>
      <c r="BY34" s="3"/>
      <c r="BZ34" s="48" t="str">
        <f t="shared" si="99"/>
        <v/>
      </c>
      <c r="CA34" s="3"/>
      <c r="CB34" s="48" t="str">
        <f t="shared" si="100"/>
        <v/>
      </c>
      <c r="CC34" s="3"/>
      <c r="CD34" s="48" t="str">
        <f t="shared" si="101"/>
        <v/>
      </c>
      <c r="CE34" s="3"/>
      <c r="CF34" s="48" t="str">
        <f t="shared" si="102"/>
        <v/>
      </c>
      <c r="CG34" s="3"/>
      <c r="CH34" s="48" t="str">
        <f t="shared" si="103"/>
        <v/>
      </c>
      <c r="CI34" s="3"/>
      <c r="CJ34" s="48" t="str">
        <f t="shared" si="104"/>
        <v/>
      </c>
      <c r="CK34" s="3"/>
      <c r="CL34" s="48" t="str">
        <f t="shared" si="105"/>
        <v/>
      </c>
      <c r="CM34" s="3"/>
      <c r="CN34" s="48" t="str">
        <f t="shared" si="106"/>
        <v/>
      </c>
      <c r="CO34" s="3"/>
      <c r="CP34" s="48" t="str">
        <f t="shared" si="107"/>
        <v/>
      </c>
      <c r="CQ34" s="3"/>
      <c r="CR34" s="48" t="str">
        <f t="shared" si="108"/>
        <v/>
      </c>
      <c r="CS34" s="3"/>
      <c r="CT34" s="48" t="str">
        <f t="shared" si="109"/>
        <v/>
      </c>
      <c r="CU34" s="3"/>
      <c r="CV34" s="48" t="str">
        <f t="shared" si="110"/>
        <v/>
      </c>
      <c r="CW34" s="3"/>
      <c r="CX34" s="48" t="str">
        <f t="shared" si="111"/>
        <v/>
      </c>
      <c r="CY34" s="3"/>
      <c r="CZ34" s="48" t="str">
        <f t="shared" si="112"/>
        <v/>
      </c>
      <c r="DA34" s="3"/>
      <c r="DB34" s="48" t="str">
        <f t="shared" si="113"/>
        <v/>
      </c>
      <c r="DC34" s="3"/>
      <c r="DD34" s="48" t="str">
        <f t="shared" si="114"/>
        <v/>
      </c>
      <c r="DE34" s="3"/>
      <c r="DF34" s="48" t="str">
        <f t="shared" si="115"/>
        <v/>
      </c>
      <c r="DG34" s="3"/>
      <c r="DH34" s="48" t="str">
        <f t="shared" si="116"/>
        <v/>
      </c>
      <c r="DI34" s="3"/>
      <c r="DJ34" s="48" t="str">
        <f t="shared" si="117"/>
        <v/>
      </c>
      <c r="DK34" s="3"/>
      <c r="DL34" s="48" t="str">
        <f t="shared" si="118"/>
        <v/>
      </c>
      <c r="DM34" s="3"/>
      <c r="DN34" s="48" t="str">
        <f t="shared" si="119"/>
        <v/>
      </c>
      <c r="DO34" s="3"/>
      <c r="DP34" s="48" t="str">
        <f t="shared" si="120"/>
        <v/>
      </c>
    </row>
    <row r="35" ht="15.75" customHeight="1">
      <c r="A35" s="47" t="s">
        <v>195</v>
      </c>
      <c r="B35" s="48">
        <f t="shared" si="61"/>
        <v>46</v>
      </c>
      <c r="C35" s="51" t="s">
        <v>196</v>
      </c>
      <c r="D35" s="48"/>
      <c r="E35" s="51" t="s">
        <v>197</v>
      </c>
      <c r="F35" s="48"/>
      <c r="G35" s="51" t="s">
        <v>198</v>
      </c>
      <c r="H35" s="48"/>
      <c r="I35" s="51" t="s">
        <v>199</v>
      </c>
      <c r="J35" s="48"/>
      <c r="K35" s="51" t="s">
        <v>200</v>
      </c>
      <c r="L35" s="48"/>
      <c r="M35" s="51" t="s">
        <v>201</v>
      </c>
      <c r="N35" s="48" t="str">
        <f t="shared" si="67"/>
        <v/>
      </c>
      <c r="O35" s="3"/>
      <c r="P35" s="48" t="str">
        <f t="shared" si="68"/>
        <v/>
      </c>
      <c r="Q35" s="3"/>
      <c r="R35" s="48" t="str">
        <f t="shared" si="69"/>
        <v/>
      </c>
      <c r="S35" s="3"/>
      <c r="T35" s="48" t="str">
        <f t="shared" si="70"/>
        <v/>
      </c>
      <c r="U35" s="3"/>
      <c r="V35" s="48" t="str">
        <f t="shared" si="71"/>
        <v/>
      </c>
      <c r="W35" s="3"/>
      <c r="X35" s="48" t="str">
        <f t="shared" si="72"/>
        <v/>
      </c>
      <c r="Y35" s="3"/>
      <c r="Z35" s="48" t="str">
        <f t="shared" si="73"/>
        <v/>
      </c>
      <c r="AA35" s="3"/>
      <c r="AB35" s="48" t="str">
        <f t="shared" si="74"/>
        <v/>
      </c>
      <c r="AC35" s="3"/>
      <c r="AD35" s="48" t="str">
        <f t="shared" si="75"/>
        <v/>
      </c>
      <c r="AE35" s="3"/>
      <c r="AF35" s="48" t="str">
        <f t="shared" si="76"/>
        <v/>
      </c>
      <c r="AG35" s="3"/>
      <c r="AH35" s="48" t="str">
        <f t="shared" si="77"/>
        <v/>
      </c>
      <c r="AI35" s="3"/>
      <c r="AJ35" s="48" t="str">
        <f t="shared" si="78"/>
        <v/>
      </c>
      <c r="AK35" s="3"/>
      <c r="AL35" s="48" t="str">
        <f t="shared" si="79"/>
        <v/>
      </c>
      <c r="AM35" s="3"/>
      <c r="AN35" s="48" t="str">
        <f t="shared" si="80"/>
        <v/>
      </c>
      <c r="AO35" s="3"/>
      <c r="AP35" s="48" t="str">
        <f t="shared" si="81"/>
        <v/>
      </c>
      <c r="AQ35" s="3"/>
      <c r="AR35" s="48" t="str">
        <f t="shared" si="82"/>
        <v/>
      </c>
      <c r="AS35" s="3"/>
      <c r="AT35" s="48" t="str">
        <f t="shared" si="83"/>
        <v/>
      </c>
      <c r="AU35" s="3"/>
      <c r="AV35" s="48" t="str">
        <f t="shared" si="84"/>
        <v/>
      </c>
      <c r="AW35" s="3"/>
      <c r="AX35" s="48" t="str">
        <f t="shared" si="85"/>
        <v/>
      </c>
      <c r="AY35" s="3"/>
      <c r="AZ35" s="48" t="str">
        <f t="shared" si="86"/>
        <v/>
      </c>
      <c r="BA35" s="3"/>
      <c r="BB35" s="48" t="str">
        <f t="shared" si="87"/>
        <v/>
      </c>
      <c r="BC35" s="3"/>
      <c r="BD35" s="48" t="str">
        <f t="shared" si="88"/>
        <v/>
      </c>
      <c r="BE35" s="3"/>
      <c r="BF35" s="48" t="str">
        <f t="shared" si="89"/>
        <v/>
      </c>
      <c r="BG35" s="3"/>
      <c r="BH35" s="48" t="str">
        <f t="shared" si="90"/>
        <v/>
      </c>
      <c r="BI35" s="3"/>
      <c r="BJ35" s="48" t="str">
        <f t="shared" si="91"/>
        <v/>
      </c>
      <c r="BK35" s="3"/>
      <c r="BL35" s="48" t="str">
        <f t="shared" si="92"/>
        <v/>
      </c>
      <c r="BM35" s="3"/>
      <c r="BN35" s="48" t="str">
        <f t="shared" si="93"/>
        <v/>
      </c>
      <c r="BO35" s="3"/>
      <c r="BP35" s="48" t="str">
        <f t="shared" si="94"/>
        <v/>
      </c>
      <c r="BQ35" s="3"/>
      <c r="BR35" s="48" t="str">
        <f t="shared" si="95"/>
        <v/>
      </c>
      <c r="BS35" s="3"/>
      <c r="BT35" s="48" t="str">
        <f t="shared" si="96"/>
        <v/>
      </c>
      <c r="BU35" s="3"/>
      <c r="BV35" s="48" t="str">
        <f t="shared" si="97"/>
        <v/>
      </c>
      <c r="BW35" s="3"/>
      <c r="BX35" s="48" t="str">
        <f t="shared" si="98"/>
        <v/>
      </c>
      <c r="BY35" s="3"/>
      <c r="BZ35" s="48" t="str">
        <f t="shared" si="99"/>
        <v/>
      </c>
      <c r="CA35" s="3"/>
      <c r="CB35" s="48" t="str">
        <f t="shared" si="100"/>
        <v/>
      </c>
      <c r="CC35" s="3"/>
      <c r="CD35" s="48" t="str">
        <f t="shared" si="101"/>
        <v/>
      </c>
      <c r="CE35" s="3"/>
      <c r="CF35" s="48" t="str">
        <f t="shared" si="102"/>
        <v/>
      </c>
      <c r="CG35" s="3"/>
      <c r="CH35" s="48" t="str">
        <f t="shared" si="103"/>
        <v/>
      </c>
      <c r="CI35" s="3"/>
      <c r="CJ35" s="48" t="str">
        <f t="shared" si="104"/>
        <v/>
      </c>
      <c r="CK35" s="3"/>
      <c r="CL35" s="48" t="str">
        <f t="shared" si="105"/>
        <v/>
      </c>
      <c r="CM35" s="3"/>
      <c r="CN35" s="48" t="str">
        <f t="shared" si="106"/>
        <v/>
      </c>
      <c r="CO35" s="3"/>
      <c r="CP35" s="48" t="str">
        <f t="shared" si="107"/>
        <v/>
      </c>
      <c r="CQ35" s="3"/>
      <c r="CR35" s="48" t="str">
        <f t="shared" si="108"/>
        <v/>
      </c>
      <c r="CS35" s="3"/>
      <c r="CT35" s="48" t="str">
        <f t="shared" si="109"/>
        <v/>
      </c>
      <c r="CU35" s="3"/>
      <c r="CV35" s="48" t="str">
        <f t="shared" si="110"/>
        <v/>
      </c>
      <c r="CW35" s="3"/>
      <c r="CX35" s="48" t="str">
        <f t="shared" si="111"/>
        <v/>
      </c>
      <c r="CY35" s="3"/>
      <c r="CZ35" s="48" t="str">
        <f t="shared" si="112"/>
        <v/>
      </c>
      <c r="DA35" s="3"/>
      <c r="DB35" s="48" t="str">
        <f t="shared" si="113"/>
        <v/>
      </c>
      <c r="DC35" s="3"/>
      <c r="DD35" s="48" t="str">
        <f t="shared" si="114"/>
        <v/>
      </c>
      <c r="DE35" s="3"/>
      <c r="DF35" s="48" t="str">
        <f t="shared" si="115"/>
        <v/>
      </c>
      <c r="DG35" s="3"/>
      <c r="DH35" s="48" t="str">
        <f t="shared" si="116"/>
        <v/>
      </c>
      <c r="DI35" s="3"/>
      <c r="DJ35" s="48" t="str">
        <f t="shared" si="117"/>
        <v/>
      </c>
      <c r="DK35" s="3"/>
      <c r="DL35" s="48" t="str">
        <f t="shared" si="118"/>
        <v/>
      </c>
      <c r="DM35" s="3"/>
      <c r="DN35" s="48" t="str">
        <f t="shared" si="119"/>
        <v/>
      </c>
      <c r="DO35" s="3"/>
      <c r="DP35" s="48" t="str">
        <f t="shared" si="120"/>
        <v/>
      </c>
    </row>
    <row r="36" ht="15.75" customHeight="1">
      <c r="A36" s="47" t="s">
        <v>202</v>
      </c>
      <c r="B36" s="48">
        <f t="shared" si="61"/>
        <v>28</v>
      </c>
      <c r="C36" s="52" t="s">
        <v>203</v>
      </c>
      <c r="D36" s="48"/>
      <c r="E36" s="52" t="s">
        <v>203</v>
      </c>
      <c r="F36" s="48"/>
      <c r="G36" s="53" t="s">
        <v>203</v>
      </c>
      <c r="H36" s="48"/>
      <c r="I36" s="53" t="s">
        <v>203</v>
      </c>
      <c r="J36" s="48"/>
      <c r="K36" s="53" t="s">
        <v>203</v>
      </c>
      <c r="L36" s="48"/>
      <c r="M36" s="53" t="s">
        <v>203</v>
      </c>
      <c r="N36" s="48" t="str">
        <f t="shared" si="67"/>
        <v/>
      </c>
      <c r="O36" s="3"/>
      <c r="P36" s="48" t="str">
        <f t="shared" si="68"/>
        <v/>
      </c>
      <c r="Q36" s="3"/>
      <c r="R36" s="48" t="str">
        <f t="shared" si="69"/>
        <v/>
      </c>
      <c r="S36" s="3"/>
      <c r="T36" s="48" t="str">
        <f t="shared" si="70"/>
        <v/>
      </c>
      <c r="U36" s="3"/>
      <c r="V36" s="48" t="str">
        <f t="shared" si="71"/>
        <v/>
      </c>
      <c r="W36" s="3"/>
      <c r="X36" s="48" t="str">
        <f t="shared" si="72"/>
        <v/>
      </c>
      <c r="Y36" s="3"/>
      <c r="Z36" s="48" t="str">
        <f t="shared" si="73"/>
        <v/>
      </c>
      <c r="AA36" s="3"/>
      <c r="AB36" s="48" t="str">
        <f t="shared" si="74"/>
        <v/>
      </c>
      <c r="AC36" s="3"/>
      <c r="AD36" s="48" t="str">
        <f t="shared" si="75"/>
        <v/>
      </c>
      <c r="AE36" s="3"/>
      <c r="AF36" s="48" t="str">
        <f t="shared" si="76"/>
        <v/>
      </c>
      <c r="AG36" s="3"/>
      <c r="AH36" s="48" t="str">
        <f t="shared" si="77"/>
        <v/>
      </c>
      <c r="AI36" s="3"/>
      <c r="AJ36" s="48" t="str">
        <f t="shared" si="78"/>
        <v/>
      </c>
      <c r="AK36" s="3"/>
      <c r="AL36" s="48" t="str">
        <f t="shared" si="79"/>
        <v/>
      </c>
      <c r="AM36" s="3"/>
      <c r="AN36" s="48" t="str">
        <f t="shared" si="80"/>
        <v/>
      </c>
      <c r="AO36" s="3"/>
      <c r="AP36" s="48" t="str">
        <f t="shared" si="81"/>
        <v/>
      </c>
      <c r="AQ36" s="3"/>
      <c r="AR36" s="48" t="str">
        <f t="shared" si="82"/>
        <v/>
      </c>
      <c r="AS36" s="3"/>
      <c r="AT36" s="48" t="str">
        <f t="shared" si="83"/>
        <v/>
      </c>
      <c r="AU36" s="3"/>
      <c r="AV36" s="48" t="str">
        <f t="shared" si="84"/>
        <v/>
      </c>
      <c r="AW36" s="3"/>
      <c r="AX36" s="48" t="str">
        <f t="shared" si="85"/>
        <v/>
      </c>
      <c r="AY36" s="3"/>
      <c r="AZ36" s="48" t="str">
        <f t="shared" si="86"/>
        <v/>
      </c>
      <c r="BA36" s="3"/>
      <c r="BB36" s="48" t="str">
        <f t="shared" si="87"/>
        <v/>
      </c>
      <c r="BC36" s="3"/>
      <c r="BD36" s="48" t="str">
        <f t="shared" si="88"/>
        <v/>
      </c>
      <c r="BE36" s="3"/>
      <c r="BF36" s="48" t="str">
        <f t="shared" si="89"/>
        <v/>
      </c>
      <c r="BG36" s="3"/>
      <c r="BH36" s="48" t="str">
        <f t="shared" si="90"/>
        <v/>
      </c>
      <c r="BI36" s="3"/>
      <c r="BJ36" s="48" t="str">
        <f t="shared" si="91"/>
        <v/>
      </c>
      <c r="BK36" s="3"/>
      <c r="BL36" s="48" t="str">
        <f t="shared" si="92"/>
        <v/>
      </c>
      <c r="BM36" s="3"/>
      <c r="BN36" s="48" t="str">
        <f t="shared" si="93"/>
        <v/>
      </c>
      <c r="BO36" s="3"/>
      <c r="BP36" s="48" t="str">
        <f t="shared" si="94"/>
        <v/>
      </c>
      <c r="BQ36" s="3"/>
      <c r="BR36" s="48" t="str">
        <f t="shared" si="95"/>
        <v/>
      </c>
      <c r="BS36" s="3"/>
      <c r="BT36" s="48" t="str">
        <f t="shared" si="96"/>
        <v/>
      </c>
      <c r="BU36" s="3"/>
      <c r="BV36" s="48" t="str">
        <f t="shared" si="97"/>
        <v/>
      </c>
      <c r="BW36" s="3"/>
      <c r="BX36" s="48" t="str">
        <f t="shared" si="98"/>
        <v/>
      </c>
      <c r="BY36" s="3"/>
      <c r="BZ36" s="48" t="str">
        <f t="shared" si="99"/>
        <v/>
      </c>
      <c r="CA36" s="3"/>
      <c r="CB36" s="48" t="str">
        <f t="shared" si="100"/>
        <v/>
      </c>
      <c r="CC36" s="3"/>
      <c r="CD36" s="48" t="str">
        <f t="shared" si="101"/>
        <v/>
      </c>
      <c r="CE36" s="3"/>
      <c r="CF36" s="48" t="str">
        <f t="shared" si="102"/>
        <v/>
      </c>
      <c r="CG36" s="3"/>
      <c r="CH36" s="48" t="str">
        <f t="shared" si="103"/>
        <v/>
      </c>
      <c r="CI36" s="3"/>
      <c r="CJ36" s="48" t="str">
        <f t="shared" si="104"/>
        <v/>
      </c>
      <c r="CK36" s="3"/>
      <c r="CL36" s="48" t="str">
        <f t="shared" si="105"/>
        <v/>
      </c>
      <c r="CM36" s="3"/>
      <c r="CN36" s="48" t="str">
        <f t="shared" si="106"/>
        <v/>
      </c>
      <c r="CO36" s="3"/>
      <c r="CP36" s="48" t="str">
        <f t="shared" si="107"/>
        <v/>
      </c>
      <c r="CQ36" s="3"/>
      <c r="CR36" s="48" t="str">
        <f t="shared" si="108"/>
        <v/>
      </c>
      <c r="CS36" s="3"/>
      <c r="CT36" s="48" t="str">
        <f t="shared" si="109"/>
        <v/>
      </c>
      <c r="CU36" s="3"/>
      <c r="CV36" s="48" t="str">
        <f t="shared" si="110"/>
        <v/>
      </c>
      <c r="CW36" s="3"/>
      <c r="CX36" s="48" t="str">
        <f t="shared" si="111"/>
        <v/>
      </c>
      <c r="CY36" s="3"/>
      <c r="CZ36" s="48" t="str">
        <f t="shared" si="112"/>
        <v/>
      </c>
      <c r="DA36" s="3"/>
      <c r="DB36" s="48" t="str">
        <f t="shared" si="113"/>
        <v/>
      </c>
      <c r="DC36" s="3"/>
      <c r="DD36" s="48" t="str">
        <f t="shared" si="114"/>
        <v/>
      </c>
      <c r="DE36" s="3"/>
      <c r="DF36" s="48" t="str">
        <f t="shared" si="115"/>
        <v/>
      </c>
      <c r="DG36" s="3"/>
      <c r="DH36" s="48" t="str">
        <f t="shared" si="116"/>
        <v/>
      </c>
      <c r="DI36" s="3"/>
      <c r="DJ36" s="48" t="str">
        <f t="shared" si="117"/>
        <v/>
      </c>
      <c r="DK36" s="3"/>
      <c r="DL36" s="48" t="str">
        <f t="shared" si="118"/>
        <v/>
      </c>
      <c r="DM36" s="3"/>
      <c r="DN36" s="48" t="str">
        <f t="shared" si="119"/>
        <v/>
      </c>
      <c r="DO36" s="3"/>
      <c r="DP36" s="48" t="str">
        <f t="shared" si="120"/>
        <v/>
      </c>
    </row>
    <row r="37" ht="15.75" customHeight="1">
      <c r="A37" s="47"/>
      <c r="B37" s="48"/>
      <c r="C37" s="3"/>
      <c r="D37" s="48"/>
      <c r="E37" s="3"/>
      <c r="F37" s="48"/>
      <c r="G37" s="3"/>
      <c r="H37" s="48"/>
      <c r="I37" s="3"/>
      <c r="J37" s="48"/>
      <c r="K37" s="3"/>
      <c r="L37" s="48"/>
      <c r="M37" s="3"/>
      <c r="N37" s="48"/>
      <c r="O37" s="3"/>
      <c r="P37" s="48"/>
      <c r="Q37" s="3"/>
      <c r="R37" s="48"/>
      <c r="S37" s="3"/>
      <c r="T37" s="48"/>
      <c r="U37" s="3"/>
      <c r="V37" s="48"/>
      <c r="W37" s="3"/>
      <c r="X37" s="48"/>
      <c r="Y37" s="3"/>
      <c r="Z37" s="48"/>
      <c r="AA37" s="3"/>
      <c r="AB37" s="48"/>
      <c r="AC37" s="3"/>
      <c r="AD37" s="48"/>
      <c r="AE37" s="3"/>
      <c r="AF37" s="48"/>
      <c r="AG37" s="3"/>
      <c r="AH37" s="48"/>
      <c r="AI37" s="3"/>
      <c r="AJ37" s="48"/>
      <c r="AK37" s="3"/>
      <c r="AL37" s="48"/>
      <c r="AM37" s="3"/>
      <c r="AN37" s="48"/>
      <c r="AO37" s="3"/>
      <c r="AP37" s="48"/>
      <c r="AQ37" s="3"/>
      <c r="AR37" s="48"/>
      <c r="AS37" s="3"/>
      <c r="AT37" s="48"/>
      <c r="AU37" s="3"/>
      <c r="AV37" s="48"/>
      <c r="AW37" s="3"/>
      <c r="AX37" s="48"/>
      <c r="AY37" s="3"/>
      <c r="AZ37" s="48"/>
      <c r="BA37" s="3"/>
      <c r="BB37" s="48"/>
      <c r="BC37" s="3"/>
      <c r="BD37" s="48"/>
      <c r="BE37" s="3"/>
      <c r="BF37" s="48"/>
      <c r="BG37" s="3"/>
      <c r="BH37" s="48"/>
      <c r="BI37" s="3"/>
      <c r="BJ37" s="48"/>
      <c r="BK37" s="3"/>
      <c r="BL37" s="48"/>
      <c r="BM37" s="3"/>
      <c r="BN37" s="48"/>
      <c r="BO37" s="3"/>
      <c r="BP37" s="48"/>
      <c r="BQ37" s="3"/>
      <c r="BR37" s="48"/>
      <c r="BS37" s="3"/>
      <c r="BT37" s="48"/>
      <c r="BU37" s="3"/>
      <c r="BV37" s="48"/>
      <c r="BW37" s="3"/>
      <c r="BX37" s="48"/>
      <c r="BY37" s="3"/>
      <c r="BZ37" s="48"/>
      <c r="CA37" s="3"/>
      <c r="CB37" s="48"/>
      <c r="CC37" s="3"/>
      <c r="CD37" s="48"/>
      <c r="CE37" s="3"/>
      <c r="CF37" s="48"/>
      <c r="CG37" s="3"/>
      <c r="CH37" s="48"/>
      <c r="CI37" s="3"/>
      <c r="CJ37" s="48"/>
      <c r="CK37" s="3"/>
      <c r="CL37" s="48"/>
      <c r="CM37" s="3"/>
      <c r="CN37" s="48"/>
      <c r="CO37" s="3"/>
      <c r="CP37" s="48"/>
      <c r="CQ37" s="3"/>
      <c r="CR37" s="48"/>
      <c r="CS37" s="3"/>
      <c r="CT37" s="48"/>
      <c r="CU37" s="3"/>
      <c r="CV37" s="48"/>
      <c r="CW37" s="3"/>
      <c r="CX37" s="48"/>
      <c r="CY37" s="3"/>
      <c r="CZ37" s="48"/>
      <c r="DA37" s="3"/>
      <c r="DB37" s="48"/>
      <c r="DC37" s="3"/>
      <c r="DD37" s="48"/>
      <c r="DE37" s="3"/>
      <c r="DF37" s="48"/>
      <c r="DG37" s="3"/>
      <c r="DH37" s="48"/>
      <c r="DI37" s="3"/>
      <c r="DJ37" s="48"/>
      <c r="DK37" s="3"/>
      <c r="DL37" s="48"/>
      <c r="DM37" s="3"/>
      <c r="DN37" s="48"/>
      <c r="DO37" s="3"/>
      <c r="DP37" s="48"/>
    </row>
    <row r="38" ht="15.75" customHeight="1">
      <c r="A38" s="47"/>
      <c r="B38" s="48"/>
      <c r="C38" s="3"/>
      <c r="D38" s="48"/>
      <c r="E38" s="3"/>
      <c r="F38" s="48"/>
      <c r="G38" s="3"/>
      <c r="H38" s="48"/>
      <c r="I38" s="3"/>
      <c r="J38" s="48"/>
      <c r="K38" s="3"/>
      <c r="L38" s="48"/>
      <c r="M38" s="3"/>
      <c r="N38" s="48"/>
      <c r="O38" s="3"/>
      <c r="P38" s="48"/>
      <c r="Q38" s="3"/>
      <c r="R38" s="48"/>
      <c r="S38" s="3"/>
      <c r="T38" s="48"/>
      <c r="U38" s="3"/>
      <c r="V38" s="48"/>
      <c r="W38" s="3"/>
      <c r="X38" s="48"/>
      <c r="Y38" s="3"/>
      <c r="Z38" s="48"/>
      <c r="AA38" s="3"/>
      <c r="AB38" s="48"/>
      <c r="AC38" s="3"/>
      <c r="AD38" s="48"/>
      <c r="AE38" s="3"/>
      <c r="AF38" s="48"/>
      <c r="AG38" s="3"/>
      <c r="AH38" s="48"/>
      <c r="AI38" s="3"/>
      <c r="AJ38" s="48"/>
      <c r="AK38" s="3"/>
      <c r="AL38" s="48"/>
      <c r="AM38" s="3"/>
      <c r="AN38" s="48"/>
      <c r="AO38" s="3"/>
      <c r="AP38" s="48"/>
      <c r="AQ38" s="3"/>
      <c r="AR38" s="48"/>
      <c r="AS38" s="3"/>
      <c r="AT38" s="48"/>
      <c r="AU38" s="3"/>
      <c r="AV38" s="48"/>
      <c r="AW38" s="3"/>
      <c r="AX38" s="48"/>
      <c r="AY38" s="3"/>
      <c r="AZ38" s="48"/>
      <c r="BA38" s="3"/>
      <c r="BB38" s="48"/>
      <c r="BC38" s="3"/>
      <c r="BD38" s="48"/>
      <c r="BE38" s="3"/>
      <c r="BF38" s="48"/>
      <c r="BG38" s="3"/>
      <c r="BH38" s="48"/>
      <c r="BI38" s="3"/>
      <c r="BJ38" s="48"/>
      <c r="BK38" s="3"/>
      <c r="BL38" s="48"/>
      <c r="BM38" s="3"/>
      <c r="BN38" s="48"/>
      <c r="BO38" s="3"/>
      <c r="BP38" s="48"/>
      <c r="BQ38" s="3"/>
      <c r="BR38" s="48"/>
      <c r="BS38" s="3"/>
      <c r="BT38" s="48"/>
      <c r="BU38" s="3"/>
      <c r="BV38" s="48"/>
      <c r="BW38" s="3"/>
      <c r="BX38" s="48"/>
      <c r="BY38" s="3"/>
      <c r="BZ38" s="48"/>
      <c r="CA38" s="3"/>
      <c r="CB38" s="48"/>
      <c r="CC38" s="3"/>
      <c r="CD38" s="48"/>
      <c r="CE38" s="3"/>
      <c r="CF38" s="48"/>
      <c r="CG38" s="3"/>
      <c r="CH38" s="48"/>
      <c r="CI38" s="3"/>
      <c r="CJ38" s="48"/>
      <c r="CK38" s="3"/>
      <c r="CL38" s="48"/>
      <c r="CM38" s="3"/>
      <c r="CN38" s="48"/>
      <c r="CO38" s="3"/>
      <c r="CP38" s="48"/>
      <c r="CQ38" s="3"/>
      <c r="CR38" s="48"/>
      <c r="CS38" s="3"/>
      <c r="CT38" s="48"/>
      <c r="CU38" s="3"/>
      <c r="CV38" s="48"/>
      <c r="CW38" s="3"/>
      <c r="CX38" s="48"/>
      <c r="CY38" s="3"/>
      <c r="CZ38" s="48"/>
      <c r="DA38" s="3"/>
      <c r="DB38" s="48"/>
      <c r="DC38" s="3"/>
      <c r="DD38" s="48"/>
      <c r="DE38" s="3"/>
      <c r="DF38" s="48"/>
      <c r="DG38" s="3"/>
      <c r="DH38" s="48"/>
      <c r="DI38" s="3"/>
      <c r="DJ38" s="48"/>
      <c r="DK38" s="3"/>
      <c r="DL38" s="48"/>
      <c r="DM38" s="3"/>
      <c r="DN38" s="48"/>
      <c r="DO38" s="3"/>
      <c r="DP38" s="48"/>
    </row>
    <row r="39" ht="15.75" customHeight="1">
      <c r="A39" s="47"/>
      <c r="B39" s="48"/>
      <c r="C39" s="3"/>
      <c r="D39" s="48"/>
      <c r="E39" s="3"/>
      <c r="F39" s="48"/>
      <c r="G39" s="3"/>
      <c r="H39" s="48"/>
      <c r="I39" s="3"/>
      <c r="J39" s="48"/>
      <c r="K39" s="3"/>
      <c r="L39" s="48"/>
      <c r="M39" s="3"/>
      <c r="N39" s="48"/>
      <c r="O39" s="3"/>
      <c r="P39" s="48"/>
      <c r="Q39" s="3"/>
      <c r="R39" s="48"/>
      <c r="S39" s="3"/>
      <c r="T39" s="48"/>
      <c r="U39" s="3"/>
      <c r="V39" s="48"/>
      <c r="W39" s="3"/>
      <c r="X39" s="48"/>
      <c r="Y39" s="3"/>
      <c r="Z39" s="48"/>
      <c r="AA39" s="3"/>
      <c r="AB39" s="48"/>
      <c r="AC39" s="3"/>
      <c r="AD39" s="48"/>
      <c r="AE39" s="3"/>
      <c r="AF39" s="48"/>
      <c r="AG39" s="3"/>
      <c r="AH39" s="48"/>
      <c r="AI39" s="3"/>
      <c r="AJ39" s="48"/>
      <c r="AK39" s="3"/>
      <c r="AL39" s="48"/>
      <c r="AM39" s="3"/>
      <c r="AN39" s="48"/>
      <c r="AO39" s="3"/>
      <c r="AP39" s="48"/>
      <c r="AQ39" s="3"/>
      <c r="AR39" s="48"/>
      <c r="AS39" s="3"/>
      <c r="AT39" s="48"/>
      <c r="AU39" s="3"/>
      <c r="AV39" s="48"/>
      <c r="AW39" s="3"/>
      <c r="AX39" s="48"/>
      <c r="AY39" s="3"/>
      <c r="AZ39" s="48"/>
      <c r="BA39" s="3"/>
      <c r="BB39" s="48"/>
      <c r="BC39" s="3"/>
      <c r="BD39" s="48"/>
      <c r="BE39" s="3"/>
      <c r="BF39" s="48"/>
      <c r="BG39" s="3"/>
      <c r="BH39" s="48"/>
      <c r="BI39" s="3"/>
      <c r="BJ39" s="48"/>
      <c r="BK39" s="3"/>
      <c r="BL39" s="48"/>
      <c r="BM39" s="3"/>
      <c r="BN39" s="48"/>
      <c r="BO39" s="3"/>
      <c r="BP39" s="48"/>
      <c r="BQ39" s="3"/>
      <c r="BR39" s="48"/>
      <c r="BS39" s="3"/>
      <c r="BT39" s="48"/>
      <c r="BU39" s="3"/>
      <c r="BV39" s="48"/>
      <c r="BW39" s="3"/>
      <c r="BX39" s="48"/>
      <c r="BY39" s="3"/>
      <c r="BZ39" s="48"/>
      <c r="CA39" s="3"/>
      <c r="CB39" s="48"/>
      <c r="CC39" s="3"/>
      <c r="CD39" s="48"/>
      <c r="CE39" s="3"/>
      <c r="CF39" s="48"/>
      <c r="CG39" s="3"/>
      <c r="CH39" s="48"/>
      <c r="CI39" s="3"/>
      <c r="CJ39" s="48"/>
      <c r="CK39" s="3"/>
      <c r="CL39" s="48"/>
      <c r="CM39" s="3"/>
      <c r="CN39" s="48"/>
      <c r="CO39" s="3"/>
      <c r="CP39" s="48"/>
      <c r="CQ39" s="3"/>
      <c r="CR39" s="48"/>
      <c r="CS39" s="3"/>
      <c r="CT39" s="48"/>
      <c r="CU39" s="3"/>
      <c r="CV39" s="48"/>
      <c r="CW39" s="3"/>
      <c r="CX39" s="48"/>
      <c r="CY39" s="3"/>
      <c r="CZ39" s="48"/>
      <c r="DA39" s="3"/>
      <c r="DB39" s="48"/>
      <c r="DC39" s="3"/>
      <c r="DD39" s="48"/>
      <c r="DE39" s="3"/>
      <c r="DF39" s="48"/>
      <c r="DG39" s="3"/>
      <c r="DH39" s="48"/>
      <c r="DI39" s="3"/>
      <c r="DJ39" s="48"/>
      <c r="DK39" s="3"/>
      <c r="DL39" s="48"/>
      <c r="DM39" s="3"/>
      <c r="DN39" s="48"/>
      <c r="DO39" s="3"/>
      <c r="DP39" s="48"/>
    </row>
    <row r="40" ht="15.75" customHeight="1">
      <c r="A40" s="47"/>
      <c r="B40" s="48"/>
      <c r="C40" s="3"/>
      <c r="D40" s="48"/>
      <c r="E40" s="3"/>
      <c r="F40" s="48"/>
      <c r="G40" s="3"/>
      <c r="H40" s="48"/>
      <c r="I40" s="3"/>
      <c r="J40" s="48"/>
      <c r="K40" s="3"/>
      <c r="L40" s="48"/>
      <c r="M40" s="3"/>
      <c r="N40" s="48"/>
      <c r="O40" s="3"/>
      <c r="P40" s="48"/>
      <c r="Q40" s="3"/>
      <c r="R40" s="48"/>
      <c r="S40" s="3"/>
      <c r="T40" s="48"/>
      <c r="U40" s="3"/>
      <c r="V40" s="48"/>
      <c r="W40" s="3"/>
      <c r="X40" s="48"/>
      <c r="Y40" s="3"/>
      <c r="Z40" s="48"/>
      <c r="AA40" s="3"/>
      <c r="AB40" s="48"/>
      <c r="AC40" s="3"/>
      <c r="AD40" s="48"/>
      <c r="AE40" s="3"/>
      <c r="AF40" s="48"/>
      <c r="AG40" s="3"/>
      <c r="AH40" s="48"/>
      <c r="AI40" s="3"/>
      <c r="AJ40" s="48"/>
      <c r="AK40" s="3"/>
      <c r="AL40" s="48"/>
      <c r="AM40" s="3"/>
      <c r="AN40" s="48"/>
      <c r="AO40" s="3"/>
      <c r="AP40" s="48"/>
      <c r="AQ40" s="3"/>
      <c r="AR40" s="48"/>
      <c r="AS40" s="3"/>
      <c r="AT40" s="48"/>
      <c r="AU40" s="3"/>
      <c r="AV40" s="48"/>
      <c r="AW40" s="3"/>
      <c r="AX40" s="48"/>
      <c r="AY40" s="3"/>
      <c r="AZ40" s="48"/>
      <c r="BA40" s="3"/>
      <c r="BB40" s="48"/>
      <c r="BC40" s="3"/>
      <c r="BD40" s="48"/>
      <c r="BE40" s="3"/>
      <c r="BF40" s="48"/>
      <c r="BG40" s="3"/>
      <c r="BH40" s="48"/>
      <c r="BI40" s="3"/>
      <c r="BJ40" s="48"/>
      <c r="BK40" s="3"/>
      <c r="BL40" s="48"/>
      <c r="BM40" s="3"/>
      <c r="BN40" s="48"/>
      <c r="BO40" s="3"/>
      <c r="BP40" s="48"/>
      <c r="BQ40" s="3"/>
      <c r="BR40" s="48"/>
      <c r="BS40" s="3"/>
      <c r="BT40" s="48"/>
      <c r="BU40" s="3"/>
      <c r="BV40" s="48"/>
      <c r="BW40" s="3"/>
      <c r="BX40" s="48"/>
      <c r="BY40" s="3"/>
      <c r="BZ40" s="48"/>
      <c r="CA40" s="3"/>
      <c r="CB40" s="48"/>
      <c r="CC40" s="3"/>
      <c r="CD40" s="48"/>
      <c r="CE40" s="3"/>
      <c r="CF40" s="48"/>
      <c r="CG40" s="3"/>
      <c r="CH40" s="48"/>
      <c r="CI40" s="3"/>
      <c r="CJ40" s="48"/>
      <c r="CK40" s="3"/>
      <c r="CL40" s="48"/>
      <c r="CM40" s="3"/>
      <c r="CN40" s="48"/>
      <c r="CO40" s="3"/>
      <c r="CP40" s="48"/>
      <c r="CQ40" s="3"/>
      <c r="CR40" s="48"/>
      <c r="CS40" s="3"/>
      <c r="CT40" s="48"/>
      <c r="CU40" s="3"/>
      <c r="CV40" s="48"/>
      <c r="CW40" s="3"/>
      <c r="CX40" s="48"/>
      <c r="CY40" s="3"/>
      <c r="CZ40" s="48"/>
      <c r="DA40" s="3"/>
      <c r="DB40" s="48"/>
      <c r="DC40" s="3"/>
      <c r="DD40" s="48"/>
      <c r="DE40" s="3"/>
      <c r="DF40" s="48"/>
      <c r="DG40" s="3"/>
      <c r="DH40" s="48"/>
      <c r="DI40" s="3"/>
      <c r="DJ40" s="48"/>
      <c r="DK40" s="3"/>
      <c r="DL40" s="48"/>
      <c r="DM40" s="3"/>
      <c r="DN40" s="48"/>
      <c r="DO40" s="3"/>
      <c r="DP40" s="48"/>
    </row>
    <row r="41" ht="15.75" customHeight="1">
      <c r="A41" s="47"/>
      <c r="B41" s="48"/>
      <c r="C41" s="3"/>
      <c r="D41" s="48"/>
      <c r="E41" s="3"/>
      <c r="F41" s="48"/>
      <c r="G41" s="3"/>
      <c r="H41" s="48"/>
      <c r="I41" s="3"/>
      <c r="J41" s="48"/>
      <c r="K41" s="3"/>
      <c r="L41" s="48"/>
      <c r="M41" s="3"/>
      <c r="N41" s="48"/>
      <c r="O41" s="3"/>
      <c r="P41" s="48"/>
      <c r="Q41" s="3"/>
      <c r="R41" s="48"/>
      <c r="S41" s="3"/>
      <c r="T41" s="48"/>
      <c r="U41" s="3"/>
      <c r="V41" s="48"/>
      <c r="W41" s="3"/>
      <c r="X41" s="48"/>
      <c r="Y41" s="3"/>
      <c r="Z41" s="48"/>
      <c r="AA41" s="3"/>
      <c r="AB41" s="48"/>
      <c r="AC41" s="3"/>
      <c r="AD41" s="48"/>
      <c r="AE41" s="3"/>
      <c r="AF41" s="48"/>
      <c r="AG41" s="3"/>
      <c r="AH41" s="48"/>
      <c r="AI41" s="3"/>
      <c r="AJ41" s="48"/>
      <c r="AK41" s="3"/>
      <c r="AL41" s="48"/>
      <c r="AM41" s="3"/>
      <c r="AN41" s="48"/>
      <c r="AO41" s="3"/>
      <c r="AP41" s="48"/>
      <c r="AQ41" s="3"/>
      <c r="AR41" s="48"/>
      <c r="AS41" s="3"/>
      <c r="AT41" s="48"/>
      <c r="AU41" s="3"/>
      <c r="AV41" s="48"/>
      <c r="AW41" s="3"/>
      <c r="AX41" s="48"/>
      <c r="AY41" s="3"/>
      <c r="AZ41" s="48"/>
      <c r="BA41" s="3"/>
      <c r="BB41" s="48"/>
      <c r="BC41" s="3"/>
      <c r="BD41" s="48"/>
      <c r="BE41" s="3"/>
      <c r="BF41" s="48"/>
      <c r="BG41" s="3"/>
      <c r="BH41" s="48"/>
      <c r="BI41" s="3"/>
      <c r="BJ41" s="48"/>
      <c r="BK41" s="3"/>
      <c r="BL41" s="48"/>
      <c r="BM41" s="3"/>
      <c r="BN41" s="48"/>
      <c r="BO41" s="3"/>
      <c r="BP41" s="48"/>
      <c r="BQ41" s="3"/>
      <c r="BR41" s="48"/>
      <c r="BS41" s="3"/>
      <c r="BT41" s="48"/>
      <c r="BU41" s="3"/>
      <c r="BV41" s="48"/>
      <c r="BW41" s="3"/>
      <c r="BX41" s="48"/>
      <c r="BY41" s="3"/>
      <c r="BZ41" s="48"/>
      <c r="CA41" s="3"/>
      <c r="CB41" s="48"/>
      <c r="CC41" s="3"/>
      <c r="CD41" s="48"/>
      <c r="CE41" s="3"/>
      <c r="CF41" s="48"/>
      <c r="CG41" s="3"/>
      <c r="CH41" s="48"/>
      <c r="CI41" s="3"/>
      <c r="CJ41" s="48"/>
      <c r="CK41" s="3"/>
      <c r="CL41" s="48"/>
      <c r="CM41" s="3"/>
      <c r="CN41" s="48"/>
      <c r="CO41" s="3"/>
      <c r="CP41" s="48"/>
      <c r="CQ41" s="3"/>
      <c r="CR41" s="48"/>
      <c r="CS41" s="3"/>
      <c r="CT41" s="48"/>
      <c r="CU41" s="3"/>
      <c r="CV41" s="48"/>
      <c r="CW41" s="3"/>
      <c r="CX41" s="48"/>
      <c r="CY41" s="3"/>
      <c r="CZ41" s="48"/>
      <c r="DA41" s="3"/>
      <c r="DB41" s="48"/>
      <c r="DC41" s="3"/>
      <c r="DD41" s="48"/>
      <c r="DE41" s="3"/>
      <c r="DF41" s="48"/>
      <c r="DG41" s="3"/>
      <c r="DH41" s="48"/>
      <c r="DI41" s="3"/>
      <c r="DJ41" s="48"/>
      <c r="DK41" s="3"/>
      <c r="DL41" s="48"/>
      <c r="DM41" s="3"/>
      <c r="DN41" s="48"/>
      <c r="DO41" s="3"/>
      <c r="DP41" s="48"/>
    </row>
    <row r="42" ht="15.75" customHeight="1">
      <c r="A42" s="47"/>
      <c r="B42" s="48"/>
      <c r="C42" s="49"/>
      <c r="D42" s="48"/>
      <c r="E42" s="3"/>
      <c r="F42" s="48"/>
      <c r="G42" s="3"/>
      <c r="H42" s="48"/>
      <c r="I42" s="3"/>
      <c r="J42" s="48"/>
      <c r="K42" s="3"/>
      <c r="L42" s="48"/>
      <c r="M42" s="3"/>
      <c r="N42" s="48"/>
      <c r="O42" s="3"/>
      <c r="P42" s="48"/>
      <c r="Q42" s="3"/>
      <c r="R42" s="48"/>
      <c r="S42" s="3"/>
      <c r="T42" s="48"/>
      <c r="U42" s="3"/>
      <c r="V42" s="48"/>
      <c r="W42" s="3"/>
      <c r="X42" s="48"/>
      <c r="Y42" s="3"/>
      <c r="Z42" s="48"/>
      <c r="AA42" s="3"/>
      <c r="AB42" s="48"/>
      <c r="AC42" s="3"/>
      <c r="AD42" s="48"/>
      <c r="AE42" s="3"/>
      <c r="AF42" s="48"/>
      <c r="AG42" s="3"/>
      <c r="AH42" s="48"/>
      <c r="AI42" s="3"/>
      <c r="AJ42" s="48"/>
      <c r="AK42" s="3"/>
      <c r="AL42" s="48"/>
      <c r="AM42" s="3"/>
      <c r="AN42" s="48"/>
      <c r="AO42" s="3"/>
      <c r="AP42" s="48"/>
      <c r="AQ42" s="3"/>
      <c r="AR42" s="48"/>
      <c r="AS42" s="3"/>
      <c r="AT42" s="48"/>
      <c r="AU42" s="3"/>
      <c r="AV42" s="48"/>
      <c r="AW42" s="3"/>
      <c r="AX42" s="48"/>
      <c r="AY42" s="3"/>
      <c r="AZ42" s="48"/>
      <c r="BA42" s="3"/>
      <c r="BB42" s="48"/>
      <c r="BC42" s="3"/>
      <c r="BD42" s="48"/>
      <c r="BE42" s="3"/>
      <c r="BF42" s="48"/>
      <c r="BG42" s="3"/>
      <c r="BH42" s="48"/>
      <c r="BI42" s="3"/>
      <c r="BJ42" s="48"/>
      <c r="BK42" s="3"/>
      <c r="BL42" s="48"/>
      <c r="BM42" s="3"/>
      <c r="BN42" s="48"/>
      <c r="BO42" s="3"/>
      <c r="BP42" s="48"/>
      <c r="BQ42" s="3"/>
      <c r="BR42" s="48"/>
      <c r="BS42" s="3"/>
      <c r="BT42" s="48"/>
      <c r="BU42" s="3"/>
      <c r="BV42" s="48"/>
      <c r="BW42" s="3"/>
      <c r="BX42" s="48"/>
      <c r="BY42" s="3"/>
      <c r="BZ42" s="48"/>
      <c r="CA42" s="3"/>
      <c r="CB42" s="48"/>
      <c r="CC42" s="3"/>
      <c r="CD42" s="48"/>
      <c r="CE42" s="3"/>
      <c r="CF42" s="48"/>
      <c r="CG42" s="3"/>
      <c r="CH42" s="48"/>
      <c r="CI42" s="3"/>
      <c r="CJ42" s="48"/>
      <c r="CK42" s="3"/>
      <c r="CL42" s="48"/>
      <c r="CM42" s="3"/>
      <c r="CN42" s="48"/>
      <c r="CO42" s="3"/>
      <c r="CP42" s="48"/>
      <c r="CQ42" s="3"/>
      <c r="CR42" s="48"/>
      <c r="CS42" s="3"/>
      <c r="CT42" s="48"/>
      <c r="CU42" s="3"/>
      <c r="CV42" s="48"/>
      <c r="CW42" s="3"/>
      <c r="CX42" s="48"/>
      <c r="CY42" s="3"/>
      <c r="CZ42" s="48"/>
      <c r="DA42" s="3"/>
      <c r="DB42" s="48"/>
      <c r="DC42" s="3"/>
      <c r="DD42" s="48"/>
      <c r="DE42" s="3"/>
      <c r="DF42" s="48"/>
      <c r="DG42" s="3"/>
      <c r="DH42" s="48"/>
      <c r="DI42" s="3"/>
      <c r="DJ42" s="48"/>
      <c r="DK42" s="3"/>
      <c r="DL42" s="48"/>
      <c r="DM42" s="3"/>
      <c r="DN42" s="48"/>
      <c r="DO42" s="3"/>
      <c r="DP42" s="48"/>
    </row>
    <row r="43" ht="15.75" customHeight="1">
      <c r="A43" s="47"/>
      <c r="B43" s="48"/>
      <c r="C43" s="49"/>
      <c r="D43" s="48"/>
      <c r="E43" s="3"/>
      <c r="F43" s="48"/>
      <c r="G43" s="3"/>
      <c r="H43" s="48"/>
      <c r="I43" s="3"/>
      <c r="J43" s="48"/>
      <c r="K43" s="3"/>
      <c r="L43" s="48"/>
      <c r="M43" s="3"/>
      <c r="N43" s="48"/>
      <c r="O43" s="3"/>
      <c r="P43" s="48"/>
      <c r="Q43" s="3"/>
      <c r="R43" s="48"/>
      <c r="S43" s="3"/>
      <c r="T43" s="48"/>
      <c r="U43" s="3"/>
      <c r="V43" s="48"/>
      <c r="W43" s="3"/>
      <c r="X43" s="48"/>
      <c r="Y43" s="3"/>
      <c r="Z43" s="48"/>
      <c r="AA43" s="3"/>
      <c r="AB43" s="48"/>
      <c r="AC43" s="3"/>
      <c r="AD43" s="48"/>
      <c r="AE43" s="3"/>
      <c r="AF43" s="48"/>
      <c r="AG43" s="3"/>
      <c r="AH43" s="48"/>
      <c r="AI43" s="3"/>
      <c r="AJ43" s="48"/>
      <c r="AK43" s="3"/>
      <c r="AL43" s="48"/>
      <c r="AM43" s="3"/>
      <c r="AN43" s="48"/>
      <c r="AO43" s="3"/>
      <c r="AP43" s="48"/>
      <c r="AQ43" s="3"/>
      <c r="AR43" s="48"/>
      <c r="AS43" s="3"/>
      <c r="AT43" s="48"/>
      <c r="AU43" s="3"/>
      <c r="AV43" s="48"/>
      <c r="AW43" s="3"/>
      <c r="AX43" s="48"/>
      <c r="AY43" s="3"/>
      <c r="AZ43" s="48"/>
      <c r="BA43" s="3"/>
      <c r="BB43" s="48"/>
      <c r="BC43" s="3"/>
      <c r="BD43" s="48"/>
      <c r="BE43" s="3"/>
      <c r="BF43" s="48"/>
      <c r="BG43" s="3"/>
      <c r="BH43" s="48"/>
      <c r="BI43" s="3"/>
      <c r="BJ43" s="48"/>
      <c r="BK43" s="3"/>
      <c r="BL43" s="48"/>
      <c r="BM43" s="3"/>
      <c r="BN43" s="48"/>
      <c r="BO43" s="3"/>
      <c r="BP43" s="48"/>
      <c r="BQ43" s="3"/>
      <c r="BR43" s="48"/>
      <c r="BS43" s="3"/>
      <c r="BT43" s="48"/>
      <c r="BU43" s="3"/>
      <c r="BV43" s="48"/>
      <c r="BW43" s="3"/>
      <c r="BX43" s="48"/>
      <c r="BY43" s="3"/>
      <c r="BZ43" s="48"/>
      <c r="CA43" s="3"/>
      <c r="CB43" s="48"/>
      <c r="CC43" s="3"/>
      <c r="CD43" s="48"/>
      <c r="CE43" s="3"/>
      <c r="CF43" s="48"/>
      <c r="CG43" s="3"/>
      <c r="CH43" s="48"/>
      <c r="CI43" s="3"/>
      <c r="CJ43" s="48"/>
      <c r="CK43" s="3"/>
      <c r="CL43" s="48"/>
      <c r="CM43" s="3"/>
      <c r="CN43" s="48"/>
      <c r="CO43" s="3"/>
      <c r="CP43" s="48"/>
      <c r="CQ43" s="3"/>
      <c r="CR43" s="48"/>
      <c r="CS43" s="3"/>
      <c r="CT43" s="48"/>
      <c r="CU43" s="3"/>
      <c r="CV43" s="48"/>
      <c r="CW43" s="3"/>
      <c r="CX43" s="48"/>
      <c r="CY43" s="3"/>
      <c r="CZ43" s="48"/>
      <c r="DA43" s="3"/>
      <c r="DB43" s="48"/>
      <c r="DC43" s="3"/>
      <c r="DD43" s="48"/>
      <c r="DE43" s="3"/>
      <c r="DF43" s="48"/>
      <c r="DG43" s="3"/>
      <c r="DH43" s="48"/>
      <c r="DI43" s="3"/>
      <c r="DJ43" s="48"/>
      <c r="DK43" s="3"/>
      <c r="DL43" s="48"/>
      <c r="DM43" s="3"/>
      <c r="DN43" s="48"/>
      <c r="DO43" s="3"/>
      <c r="DP43" s="48"/>
    </row>
    <row r="44" ht="15.75" customHeight="1">
      <c r="A44" s="47"/>
      <c r="B44" s="48"/>
      <c r="C44" s="49"/>
      <c r="D44" s="48"/>
      <c r="E44" s="3"/>
      <c r="F44" s="48"/>
      <c r="G44" s="3"/>
      <c r="H44" s="48"/>
      <c r="I44" s="3"/>
      <c r="J44" s="48"/>
      <c r="K44" s="3"/>
      <c r="L44" s="48"/>
      <c r="M44" s="3"/>
      <c r="N44" s="48"/>
      <c r="O44" s="3"/>
      <c r="P44" s="48"/>
      <c r="Q44" s="3"/>
      <c r="R44" s="48"/>
      <c r="S44" s="3"/>
      <c r="T44" s="48"/>
      <c r="U44" s="3"/>
      <c r="V44" s="48"/>
      <c r="W44" s="3"/>
      <c r="X44" s="48"/>
      <c r="Y44" s="3"/>
      <c r="Z44" s="48"/>
      <c r="AA44" s="3"/>
      <c r="AB44" s="48"/>
      <c r="AC44" s="3"/>
      <c r="AD44" s="48"/>
      <c r="AE44" s="3"/>
      <c r="AF44" s="48"/>
      <c r="AG44" s="3"/>
      <c r="AH44" s="48"/>
      <c r="AI44" s="3"/>
      <c r="AJ44" s="48"/>
      <c r="AK44" s="3"/>
      <c r="AL44" s="48"/>
      <c r="AM44" s="3"/>
      <c r="AN44" s="48"/>
      <c r="AO44" s="3"/>
      <c r="AP44" s="48"/>
      <c r="AQ44" s="3"/>
      <c r="AR44" s="48"/>
      <c r="AS44" s="3"/>
      <c r="AT44" s="48"/>
      <c r="AU44" s="3"/>
      <c r="AV44" s="48"/>
      <c r="AW44" s="3"/>
      <c r="AX44" s="48"/>
      <c r="AY44" s="3"/>
      <c r="AZ44" s="48"/>
      <c r="BA44" s="3"/>
      <c r="BB44" s="48"/>
      <c r="BC44" s="3"/>
      <c r="BD44" s="48"/>
      <c r="BE44" s="3"/>
      <c r="BF44" s="48"/>
      <c r="BG44" s="3"/>
      <c r="BH44" s="48"/>
      <c r="BI44" s="3"/>
      <c r="BJ44" s="48"/>
      <c r="BK44" s="3"/>
      <c r="BL44" s="48"/>
      <c r="BM44" s="3"/>
      <c r="BN44" s="48"/>
      <c r="BO44" s="3"/>
      <c r="BP44" s="48"/>
      <c r="BQ44" s="3"/>
      <c r="BR44" s="48"/>
      <c r="BS44" s="3"/>
      <c r="BT44" s="48"/>
      <c r="BU44" s="3"/>
      <c r="BV44" s="48"/>
      <c r="BW44" s="3"/>
      <c r="BX44" s="48"/>
      <c r="BY44" s="3"/>
      <c r="BZ44" s="48"/>
      <c r="CA44" s="3"/>
      <c r="CB44" s="48"/>
      <c r="CC44" s="3"/>
      <c r="CD44" s="48"/>
      <c r="CE44" s="3"/>
      <c r="CF44" s="48"/>
      <c r="CG44" s="3"/>
      <c r="CH44" s="48"/>
      <c r="CI44" s="3"/>
      <c r="CJ44" s="48"/>
      <c r="CK44" s="3"/>
      <c r="CL44" s="48"/>
      <c r="CM44" s="3"/>
      <c r="CN44" s="48"/>
      <c r="CO44" s="3"/>
      <c r="CP44" s="48"/>
      <c r="CQ44" s="3"/>
      <c r="CR44" s="48"/>
      <c r="CS44" s="3"/>
      <c r="CT44" s="48"/>
      <c r="CU44" s="3"/>
      <c r="CV44" s="48"/>
      <c r="CW44" s="3"/>
      <c r="CX44" s="48"/>
      <c r="CY44" s="3"/>
      <c r="CZ44" s="48"/>
      <c r="DA44" s="3"/>
      <c r="DB44" s="48"/>
      <c r="DC44" s="3"/>
      <c r="DD44" s="48"/>
      <c r="DE44" s="3"/>
      <c r="DF44" s="48"/>
      <c r="DG44" s="3"/>
      <c r="DH44" s="48"/>
      <c r="DI44" s="3"/>
      <c r="DJ44" s="48"/>
      <c r="DK44" s="3"/>
      <c r="DL44" s="48"/>
      <c r="DM44" s="3"/>
      <c r="DN44" s="48"/>
      <c r="DO44" s="3"/>
      <c r="DP44" s="48"/>
    </row>
    <row r="45" ht="15.75" customHeight="1">
      <c r="A45" s="47"/>
      <c r="B45" s="48"/>
      <c r="C45" s="49"/>
      <c r="D45" s="48"/>
      <c r="E45" s="3"/>
      <c r="F45" s="48"/>
      <c r="G45" s="3"/>
      <c r="H45" s="48"/>
      <c r="I45" s="3"/>
      <c r="J45" s="48"/>
      <c r="K45" s="3"/>
      <c r="L45" s="48"/>
      <c r="M45" s="3"/>
      <c r="N45" s="48"/>
      <c r="O45" s="3"/>
      <c r="P45" s="48"/>
      <c r="Q45" s="3"/>
      <c r="R45" s="48"/>
      <c r="S45" s="3"/>
      <c r="T45" s="48"/>
      <c r="U45" s="3"/>
      <c r="V45" s="48"/>
      <c r="W45" s="3"/>
      <c r="X45" s="48"/>
      <c r="Y45" s="3"/>
      <c r="Z45" s="48"/>
      <c r="AA45" s="3"/>
      <c r="AB45" s="48"/>
      <c r="AC45" s="3"/>
      <c r="AD45" s="48"/>
      <c r="AE45" s="3"/>
      <c r="AF45" s="48"/>
      <c r="AG45" s="3"/>
      <c r="AH45" s="48"/>
      <c r="AI45" s="3"/>
      <c r="AJ45" s="48"/>
      <c r="AK45" s="3"/>
      <c r="AL45" s="48"/>
      <c r="AM45" s="3"/>
      <c r="AN45" s="48"/>
      <c r="AO45" s="3"/>
      <c r="AP45" s="48"/>
      <c r="AQ45" s="3"/>
      <c r="AR45" s="48"/>
      <c r="AS45" s="3"/>
      <c r="AT45" s="48"/>
      <c r="AU45" s="3"/>
      <c r="AV45" s="48"/>
      <c r="AW45" s="3"/>
      <c r="AX45" s="48"/>
      <c r="AY45" s="3"/>
      <c r="AZ45" s="48"/>
      <c r="BA45" s="3"/>
      <c r="BB45" s="48"/>
      <c r="BC45" s="3"/>
      <c r="BD45" s="48"/>
      <c r="BE45" s="3"/>
      <c r="BF45" s="48"/>
      <c r="BG45" s="3"/>
      <c r="BH45" s="48"/>
      <c r="BI45" s="3"/>
      <c r="BJ45" s="48"/>
      <c r="BK45" s="3"/>
      <c r="BL45" s="48"/>
      <c r="BM45" s="3"/>
      <c r="BN45" s="48"/>
      <c r="BO45" s="3"/>
      <c r="BP45" s="48"/>
      <c r="BQ45" s="3"/>
      <c r="BR45" s="48"/>
      <c r="BS45" s="3"/>
      <c r="BT45" s="48"/>
      <c r="BU45" s="3"/>
      <c r="BV45" s="48"/>
      <c r="BW45" s="3"/>
      <c r="BX45" s="48"/>
      <c r="BY45" s="3"/>
      <c r="BZ45" s="48"/>
      <c r="CA45" s="3"/>
      <c r="CB45" s="48"/>
      <c r="CC45" s="3"/>
      <c r="CD45" s="48"/>
      <c r="CE45" s="3"/>
      <c r="CF45" s="48"/>
      <c r="CG45" s="3"/>
      <c r="CH45" s="48"/>
      <c r="CI45" s="3"/>
      <c r="CJ45" s="48"/>
      <c r="CK45" s="3"/>
      <c r="CL45" s="48"/>
      <c r="CM45" s="3"/>
      <c r="CN45" s="48"/>
      <c r="CO45" s="3"/>
      <c r="CP45" s="48"/>
      <c r="CQ45" s="3"/>
      <c r="CR45" s="48"/>
      <c r="CS45" s="3"/>
      <c r="CT45" s="48"/>
      <c r="CU45" s="3"/>
      <c r="CV45" s="48"/>
      <c r="CW45" s="3"/>
      <c r="CX45" s="48"/>
      <c r="CY45" s="3"/>
      <c r="CZ45" s="48"/>
      <c r="DA45" s="3"/>
      <c r="DB45" s="48"/>
      <c r="DC45" s="3"/>
      <c r="DD45" s="48"/>
      <c r="DE45" s="3"/>
      <c r="DF45" s="48"/>
      <c r="DG45" s="3"/>
      <c r="DH45" s="48"/>
      <c r="DI45" s="3"/>
      <c r="DJ45" s="48"/>
      <c r="DK45" s="3"/>
      <c r="DL45" s="48"/>
      <c r="DM45" s="3"/>
      <c r="DN45" s="48"/>
      <c r="DO45" s="3"/>
      <c r="DP45" s="48"/>
    </row>
    <row r="46" ht="15.75" customHeight="1">
      <c r="A46" s="47"/>
      <c r="B46" s="48"/>
      <c r="C46" s="55"/>
      <c r="D46" s="48"/>
      <c r="E46" s="55"/>
      <c r="F46" s="48"/>
      <c r="G46" s="55"/>
      <c r="H46" s="48"/>
      <c r="I46" s="55"/>
      <c r="J46" s="48"/>
      <c r="K46" s="55"/>
      <c r="L46" s="48"/>
      <c r="M46" s="55"/>
      <c r="N46" s="48"/>
      <c r="O46" s="3"/>
      <c r="P46" s="48"/>
      <c r="Q46" s="3"/>
      <c r="R46" s="48"/>
      <c r="S46" s="3"/>
      <c r="T46" s="48"/>
      <c r="U46" s="3"/>
      <c r="V46" s="48"/>
      <c r="W46" s="3"/>
      <c r="X46" s="48"/>
      <c r="Y46" s="3"/>
      <c r="Z46" s="48"/>
      <c r="AA46" s="3"/>
      <c r="AB46" s="48"/>
      <c r="AC46" s="3"/>
      <c r="AD46" s="48"/>
      <c r="AE46" s="3"/>
      <c r="AF46" s="48"/>
      <c r="AG46" s="3"/>
      <c r="AH46" s="48"/>
      <c r="AI46" s="3"/>
      <c r="AJ46" s="48"/>
      <c r="AK46" s="3"/>
      <c r="AL46" s="48"/>
      <c r="AM46" s="3"/>
      <c r="AN46" s="48"/>
      <c r="AO46" s="3"/>
      <c r="AP46" s="48"/>
      <c r="AQ46" s="3"/>
      <c r="AR46" s="48"/>
      <c r="AS46" s="3"/>
      <c r="AT46" s="48"/>
      <c r="AU46" s="3"/>
      <c r="AV46" s="48"/>
      <c r="AW46" s="3"/>
      <c r="AX46" s="48"/>
      <c r="AY46" s="3"/>
      <c r="AZ46" s="48"/>
      <c r="BA46" s="3"/>
      <c r="BB46" s="48"/>
      <c r="BC46" s="3"/>
      <c r="BD46" s="48"/>
      <c r="BE46" s="3"/>
      <c r="BF46" s="48"/>
      <c r="BG46" s="3"/>
      <c r="BH46" s="48"/>
      <c r="BI46" s="3"/>
      <c r="BJ46" s="48"/>
      <c r="BK46" s="3"/>
      <c r="BL46" s="48"/>
      <c r="BM46" s="3"/>
      <c r="BN46" s="48"/>
      <c r="BO46" s="3"/>
      <c r="BP46" s="48"/>
      <c r="BQ46" s="3"/>
      <c r="BR46" s="48"/>
      <c r="BS46" s="3"/>
      <c r="BT46" s="48"/>
      <c r="BU46" s="3"/>
      <c r="BV46" s="48"/>
      <c r="BW46" s="3"/>
      <c r="BX46" s="48"/>
      <c r="BY46" s="3"/>
      <c r="BZ46" s="48"/>
      <c r="CA46" s="3"/>
      <c r="CB46" s="48"/>
      <c r="CC46" s="3"/>
      <c r="CD46" s="48"/>
      <c r="CE46" s="3"/>
      <c r="CF46" s="48"/>
      <c r="CG46" s="3"/>
      <c r="CH46" s="48"/>
      <c r="CI46" s="3"/>
      <c r="CJ46" s="48"/>
      <c r="CK46" s="3"/>
      <c r="CL46" s="48"/>
      <c r="CM46" s="3"/>
      <c r="CN46" s="48"/>
      <c r="CO46" s="3"/>
      <c r="CP46" s="48"/>
      <c r="CQ46" s="3"/>
      <c r="CR46" s="48"/>
      <c r="CS46" s="3"/>
      <c r="CT46" s="48"/>
      <c r="CU46" s="3"/>
      <c r="CV46" s="48"/>
      <c r="CW46" s="3"/>
      <c r="CX46" s="48"/>
      <c r="CY46" s="3"/>
      <c r="CZ46" s="48"/>
      <c r="DA46" s="3"/>
      <c r="DB46" s="48"/>
      <c r="DC46" s="3"/>
      <c r="DD46" s="48"/>
      <c r="DE46" s="3"/>
      <c r="DF46" s="48"/>
      <c r="DG46" s="3"/>
      <c r="DH46" s="48"/>
      <c r="DI46" s="3"/>
      <c r="DJ46" s="48"/>
      <c r="DK46" s="3"/>
      <c r="DL46" s="48"/>
      <c r="DM46" s="3"/>
      <c r="DN46" s="48"/>
      <c r="DO46" s="3"/>
      <c r="DP46" s="48"/>
    </row>
    <row r="47" ht="15.75" customHeight="1">
      <c r="A47" s="47"/>
      <c r="B47" s="48"/>
      <c r="C47" s="55"/>
      <c r="D47" s="48"/>
      <c r="E47" s="55"/>
      <c r="F47" s="48"/>
      <c r="G47" s="3"/>
      <c r="H47" s="48"/>
      <c r="I47" s="3"/>
      <c r="J47" s="48"/>
      <c r="K47" s="3"/>
      <c r="L47" s="48"/>
      <c r="M47" s="3"/>
      <c r="N47" s="48"/>
      <c r="O47" s="3"/>
      <c r="P47" s="48"/>
      <c r="Q47" s="3"/>
      <c r="R47" s="48"/>
      <c r="S47" s="3"/>
      <c r="T47" s="48"/>
      <c r="U47" s="3"/>
      <c r="V47" s="48"/>
      <c r="W47" s="3"/>
      <c r="X47" s="48"/>
      <c r="Y47" s="3"/>
      <c r="Z47" s="48"/>
      <c r="AA47" s="3"/>
      <c r="AB47" s="48"/>
      <c r="AC47" s="3"/>
      <c r="AD47" s="48"/>
      <c r="AE47" s="3"/>
      <c r="AF47" s="48"/>
      <c r="AG47" s="3"/>
      <c r="AH47" s="48"/>
      <c r="AI47" s="3"/>
      <c r="AJ47" s="48"/>
      <c r="AK47" s="3"/>
      <c r="AL47" s="48"/>
      <c r="AM47" s="3"/>
      <c r="AN47" s="48"/>
      <c r="AO47" s="3"/>
      <c r="AP47" s="48"/>
      <c r="AQ47" s="3"/>
      <c r="AR47" s="48"/>
      <c r="AS47" s="3"/>
      <c r="AT47" s="48"/>
      <c r="AU47" s="3"/>
      <c r="AV47" s="48"/>
      <c r="AW47" s="3"/>
      <c r="AX47" s="48"/>
      <c r="AY47" s="3"/>
      <c r="AZ47" s="48"/>
      <c r="BA47" s="3"/>
      <c r="BB47" s="48"/>
      <c r="BC47" s="3"/>
      <c r="BD47" s="48"/>
      <c r="BE47" s="3"/>
      <c r="BF47" s="48"/>
      <c r="BG47" s="3"/>
      <c r="BH47" s="48"/>
      <c r="BI47" s="3"/>
      <c r="BJ47" s="48"/>
      <c r="BK47" s="3"/>
      <c r="BL47" s="48"/>
      <c r="BM47" s="3"/>
      <c r="BN47" s="48"/>
      <c r="BO47" s="3"/>
      <c r="BP47" s="48"/>
      <c r="BQ47" s="3"/>
      <c r="BR47" s="48"/>
      <c r="BS47" s="3"/>
      <c r="BT47" s="48"/>
      <c r="BU47" s="3"/>
      <c r="BV47" s="48"/>
      <c r="BW47" s="3"/>
      <c r="BX47" s="48"/>
      <c r="BY47" s="3"/>
      <c r="BZ47" s="48"/>
      <c r="CA47" s="3"/>
      <c r="CB47" s="48"/>
      <c r="CC47" s="3"/>
      <c r="CD47" s="48"/>
      <c r="CE47" s="3"/>
      <c r="CF47" s="48"/>
      <c r="CG47" s="3"/>
      <c r="CH47" s="48"/>
      <c r="CI47" s="3"/>
      <c r="CJ47" s="48"/>
      <c r="CK47" s="3"/>
      <c r="CL47" s="48"/>
      <c r="CM47" s="3"/>
      <c r="CN47" s="48"/>
      <c r="CO47" s="3"/>
      <c r="CP47" s="48"/>
      <c r="CQ47" s="3"/>
      <c r="CR47" s="48"/>
      <c r="CS47" s="3"/>
      <c r="CT47" s="48"/>
      <c r="CU47" s="3"/>
      <c r="CV47" s="48"/>
      <c r="CW47" s="3"/>
      <c r="CX47" s="48"/>
      <c r="CY47" s="3"/>
      <c r="CZ47" s="48"/>
      <c r="DA47" s="3"/>
      <c r="DB47" s="48"/>
      <c r="DC47" s="3"/>
      <c r="DD47" s="48"/>
      <c r="DE47" s="3"/>
      <c r="DF47" s="48"/>
      <c r="DG47" s="3"/>
      <c r="DH47" s="48"/>
      <c r="DI47" s="3"/>
      <c r="DJ47" s="48"/>
      <c r="DK47" s="3"/>
      <c r="DL47" s="48"/>
      <c r="DM47" s="3"/>
      <c r="DN47" s="48"/>
      <c r="DO47" s="3"/>
      <c r="DP47" s="48"/>
    </row>
    <row r="48" ht="15.75" customHeight="1">
      <c r="A48" s="47"/>
      <c r="B48" s="48"/>
      <c r="C48" s="3"/>
      <c r="D48" s="48"/>
      <c r="E48" s="3"/>
      <c r="F48" s="48"/>
      <c r="G48" s="3"/>
      <c r="H48" s="48"/>
      <c r="I48" s="3"/>
      <c r="J48" s="48"/>
      <c r="K48" s="3"/>
      <c r="L48" s="48"/>
      <c r="M48" s="3"/>
      <c r="N48" s="48"/>
      <c r="O48" s="3"/>
      <c r="P48" s="48"/>
      <c r="Q48" s="3"/>
      <c r="R48" s="48"/>
      <c r="S48" s="3"/>
      <c r="T48" s="48"/>
      <c r="U48" s="3"/>
      <c r="V48" s="48"/>
      <c r="W48" s="3"/>
      <c r="X48" s="48"/>
      <c r="Y48" s="3"/>
      <c r="Z48" s="48"/>
      <c r="AA48" s="3"/>
      <c r="AB48" s="48"/>
      <c r="AC48" s="3"/>
      <c r="AD48" s="48"/>
      <c r="AE48" s="3"/>
      <c r="AF48" s="48"/>
      <c r="AG48" s="3"/>
      <c r="AH48" s="48"/>
      <c r="AI48" s="3"/>
      <c r="AJ48" s="48"/>
      <c r="AK48" s="3"/>
      <c r="AL48" s="48"/>
      <c r="AM48" s="3"/>
      <c r="AN48" s="48"/>
      <c r="AO48" s="3"/>
      <c r="AP48" s="48"/>
      <c r="AQ48" s="3"/>
      <c r="AR48" s="48"/>
      <c r="AS48" s="3"/>
      <c r="AT48" s="48"/>
      <c r="AU48" s="3"/>
      <c r="AV48" s="48"/>
      <c r="AW48" s="3"/>
      <c r="AX48" s="48"/>
      <c r="AY48" s="3"/>
      <c r="AZ48" s="48"/>
      <c r="BA48" s="3"/>
      <c r="BB48" s="48"/>
      <c r="BC48" s="3"/>
      <c r="BD48" s="48"/>
      <c r="BE48" s="3"/>
      <c r="BF48" s="48"/>
      <c r="BG48" s="3"/>
      <c r="BH48" s="48"/>
      <c r="BI48" s="3"/>
      <c r="BJ48" s="48"/>
      <c r="BK48" s="3"/>
      <c r="BL48" s="48"/>
      <c r="BM48" s="3"/>
      <c r="BN48" s="48"/>
      <c r="BO48" s="3"/>
      <c r="BP48" s="48"/>
      <c r="BQ48" s="3"/>
      <c r="BR48" s="48"/>
      <c r="BS48" s="3"/>
      <c r="BT48" s="48"/>
      <c r="BU48" s="3"/>
      <c r="BV48" s="48"/>
      <c r="BW48" s="3"/>
      <c r="BX48" s="48"/>
      <c r="BY48" s="3"/>
      <c r="BZ48" s="48"/>
      <c r="CA48" s="3"/>
      <c r="CB48" s="48"/>
      <c r="CC48" s="3"/>
      <c r="CD48" s="48"/>
      <c r="CE48" s="3"/>
      <c r="CF48" s="48"/>
      <c r="CG48" s="3"/>
      <c r="CH48" s="48"/>
      <c r="CI48" s="3"/>
      <c r="CJ48" s="48"/>
      <c r="CK48" s="3"/>
      <c r="CL48" s="48"/>
      <c r="CM48" s="3"/>
      <c r="CN48" s="48"/>
      <c r="CO48" s="3"/>
      <c r="CP48" s="48"/>
      <c r="CQ48" s="3"/>
      <c r="CR48" s="48"/>
      <c r="CS48" s="3"/>
      <c r="CT48" s="48"/>
      <c r="CU48" s="3"/>
      <c r="CV48" s="48"/>
      <c r="CW48" s="3"/>
      <c r="CX48" s="48"/>
      <c r="CY48" s="3"/>
      <c r="CZ48" s="48"/>
      <c r="DA48" s="3"/>
      <c r="DB48" s="48"/>
      <c r="DC48" s="3"/>
      <c r="DD48" s="48"/>
      <c r="DE48" s="3"/>
      <c r="DF48" s="48"/>
      <c r="DG48" s="3"/>
      <c r="DH48" s="48"/>
      <c r="DI48" s="3"/>
      <c r="DJ48" s="48"/>
      <c r="DK48" s="3"/>
      <c r="DL48" s="48"/>
      <c r="DM48" s="3"/>
      <c r="DN48" s="48"/>
      <c r="DO48" s="3"/>
      <c r="DP48" s="48"/>
    </row>
    <row r="49" ht="15.75" customHeight="1">
      <c r="A49" s="4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</row>
    <row r="54" ht="15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</row>
    <row r="55" ht="15.75" hidden="1" customHeight="1">
      <c r="A55" s="3"/>
      <c r="B55" s="3"/>
      <c r="C55" s="54" t="s">
        <v>98</v>
      </c>
      <c r="D55" s="3"/>
      <c r="E55" s="54" t="s">
        <v>99</v>
      </c>
      <c r="F55" s="3"/>
      <c r="G55" s="54" t="s">
        <v>100</v>
      </c>
      <c r="H55" s="3"/>
      <c r="I55" s="54" t="s">
        <v>101</v>
      </c>
      <c r="J55" s="3"/>
      <c r="K55" s="54" t="s">
        <v>102</v>
      </c>
      <c r="L55" s="3"/>
      <c r="M55" s="54" t="s">
        <v>103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</row>
    <row r="56" ht="15.75" hidden="1" customHeight="1">
      <c r="A56" s="3"/>
      <c r="B56" s="3"/>
      <c r="C56" s="54" t="s">
        <v>105</v>
      </c>
      <c r="D56" s="3"/>
      <c r="E56" s="54" t="s">
        <v>106</v>
      </c>
      <c r="F56" s="3"/>
      <c r="G56" s="54" t="s">
        <v>107</v>
      </c>
      <c r="H56" s="3"/>
      <c r="I56" s="54" t="s">
        <v>108</v>
      </c>
      <c r="J56" s="3"/>
      <c r="K56" s="54" t="s">
        <v>109</v>
      </c>
      <c r="L56" s="3"/>
      <c r="M56" s="54" t="s">
        <v>110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</row>
    <row r="57" ht="15.75" hidden="1" customHeight="1">
      <c r="A57" s="3"/>
      <c r="B57" s="3"/>
      <c r="C57" s="54" t="s">
        <v>112</v>
      </c>
      <c r="D57" s="3"/>
      <c r="E57" s="54" t="s">
        <v>113</v>
      </c>
      <c r="F57" s="3"/>
      <c r="G57" s="54" t="s">
        <v>114</v>
      </c>
      <c r="H57" s="3"/>
      <c r="I57" s="54" t="s">
        <v>115</v>
      </c>
      <c r="J57" s="3"/>
      <c r="K57" s="54" t="s">
        <v>116</v>
      </c>
      <c r="L57" s="3"/>
      <c r="M57" s="54" t="s">
        <v>117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</row>
    <row r="58" ht="15.75" hidden="1" customHeight="1">
      <c r="A58" s="3"/>
      <c r="B58" s="3"/>
      <c r="C58" s="54" t="s">
        <v>119</v>
      </c>
      <c r="D58" s="3"/>
      <c r="E58" s="54" t="s">
        <v>120</v>
      </c>
      <c r="F58" s="3"/>
      <c r="G58" s="54" t="s">
        <v>121</v>
      </c>
      <c r="H58" s="3"/>
      <c r="I58" s="54" t="s">
        <v>122</v>
      </c>
      <c r="J58" s="3"/>
      <c r="K58" s="54" t="s">
        <v>123</v>
      </c>
      <c r="L58" s="3"/>
      <c r="M58" s="54" t="s">
        <v>124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</row>
    <row r="59" ht="15.75" hidden="1" customHeight="1">
      <c r="A59" s="3"/>
      <c r="B59" s="3"/>
      <c r="C59" s="54" t="s">
        <v>126</v>
      </c>
      <c r="D59" s="3"/>
      <c r="E59" s="54" t="s">
        <v>127</v>
      </c>
      <c r="F59" s="3"/>
      <c r="G59" s="54" t="s">
        <v>128</v>
      </c>
      <c r="H59" s="3"/>
      <c r="I59" s="54" t="s">
        <v>129</v>
      </c>
      <c r="J59" s="3"/>
      <c r="K59" s="54" t="s">
        <v>130</v>
      </c>
      <c r="L59" s="3"/>
      <c r="M59" s="54" t="s">
        <v>131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</row>
    <row r="60" ht="15.75" hidden="1" customHeight="1">
      <c r="A60" s="3"/>
      <c r="B60" s="3"/>
      <c r="C60" s="54" t="s">
        <v>133</v>
      </c>
      <c r="D60" s="3"/>
      <c r="E60" s="54" t="s">
        <v>134</v>
      </c>
      <c r="F60" s="3"/>
      <c r="G60" s="54" t="s">
        <v>135</v>
      </c>
      <c r="H60" s="3"/>
      <c r="I60" s="54" t="s">
        <v>136</v>
      </c>
      <c r="J60" s="3"/>
      <c r="K60" s="54" t="s">
        <v>137</v>
      </c>
      <c r="L60" s="3"/>
      <c r="M60" s="54" t="s">
        <v>138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</row>
    <row r="61" ht="15.75" hidden="1" customHeight="1">
      <c r="A61" s="3"/>
      <c r="B61" s="3"/>
      <c r="C61" s="54" t="s">
        <v>140</v>
      </c>
      <c r="D61" s="3"/>
      <c r="E61" s="54" t="s">
        <v>141</v>
      </c>
      <c r="F61" s="3"/>
      <c r="G61" s="54" t="s">
        <v>142</v>
      </c>
      <c r="H61" s="3"/>
      <c r="I61" s="54" t="s">
        <v>143</v>
      </c>
      <c r="J61" s="3"/>
      <c r="K61" s="54" t="s">
        <v>144</v>
      </c>
      <c r="L61" s="3"/>
      <c r="M61" s="54" t="s">
        <v>145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</row>
    <row r="62" ht="15.75" hidden="1" customHeight="1">
      <c r="A62" s="3"/>
      <c r="B62" s="3"/>
      <c r="C62" s="54" t="s">
        <v>147</v>
      </c>
      <c r="D62" s="3"/>
      <c r="E62" s="54" t="s">
        <v>148</v>
      </c>
      <c r="F62" s="3"/>
      <c r="G62" s="54" t="s">
        <v>149</v>
      </c>
      <c r="H62" s="3"/>
      <c r="I62" s="54" t="s">
        <v>150</v>
      </c>
      <c r="J62" s="3"/>
      <c r="K62" s="54" t="s">
        <v>151</v>
      </c>
      <c r="L62" s="3"/>
      <c r="M62" s="54" t="s">
        <v>152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</row>
    <row r="63" ht="15.75" hidden="1" customHeight="1">
      <c r="A63" s="3"/>
      <c r="B63" s="3"/>
      <c r="C63" s="54" t="s">
        <v>154</v>
      </c>
      <c r="D63" s="3"/>
      <c r="E63" s="54" t="s">
        <v>155</v>
      </c>
      <c r="F63" s="3"/>
      <c r="G63" s="54" t="s">
        <v>156</v>
      </c>
      <c r="H63" s="3"/>
      <c r="I63" s="54" t="s">
        <v>157</v>
      </c>
      <c r="J63" s="3"/>
      <c r="K63" s="54" t="s">
        <v>158</v>
      </c>
      <c r="L63" s="3"/>
      <c r="M63" s="54" t="s">
        <v>159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</row>
    <row r="64" ht="15.75" hidden="1" customHeight="1">
      <c r="A64" s="3"/>
      <c r="B64" s="3"/>
      <c r="C64" s="54" t="s">
        <v>161</v>
      </c>
      <c r="D64" s="3"/>
      <c r="E64" s="54" t="s">
        <v>162</v>
      </c>
      <c r="F64" s="3"/>
      <c r="G64" s="54" t="s">
        <v>163</v>
      </c>
      <c r="H64" s="3"/>
      <c r="I64" s="54" t="s">
        <v>164</v>
      </c>
      <c r="J64" s="3"/>
      <c r="K64" s="54" t="s">
        <v>165</v>
      </c>
      <c r="L64" s="3"/>
      <c r="M64" s="54" t="s">
        <v>166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</row>
    <row r="65" ht="15.75" hidden="1" customHeight="1">
      <c r="A65" s="3"/>
      <c r="B65" s="3"/>
      <c r="C65" s="54" t="s">
        <v>168</v>
      </c>
      <c r="D65" s="3"/>
      <c r="E65" s="54" t="s">
        <v>288</v>
      </c>
      <c r="F65" s="3"/>
      <c r="G65" s="54" t="s">
        <v>170</v>
      </c>
      <c r="H65" s="3"/>
      <c r="I65" s="54" t="s">
        <v>171</v>
      </c>
      <c r="J65" s="3"/>
      <c r="K65" s="54" t="s">
        <v>172</v>
      </c>
      <c r="L65" s="3"/>
      <c r="M65" s="54" t="s">
        <v>173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</row>
    <row r="66" ht="15.75" hidden="1" customHeight="1">
      <c r="A66" s="3"/>
      <c r="B66" s="3"/>
      <c r="C66" s="54" t="s">
        <v>175</v>
      </c>
      <c r="D66" s="3"/>
      <c r="E66" s="54" t="s">
        <v>176</v>
      </c>
      <c r="F66" s="3"/>
      <c r="G66" s="54" t="s">
        <v>289</v>
      </c>
      <c r="H66" s="3"/>
      <c r="I66" s="54" t="s">
        <v>178</v>
      </c>
      <c r="J66" s="3"/>
      <c r="K66" s="54" t="s">
        <v>179</v>
      </c>
      <c r="L66" s="3"/>
      <c r="M66" s="54" t="s">
        <v>180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</row>
    <row r="67" ht="15.75" hidden="1" customHeight="1">
      <c r="A67" s="3"/>
      <c r="B67" s="3"/>
      <c r="C67" s="54" t="s">
        <v>182</v>
      </c>
      <c r="D67" s="3"/>
      <c r="E67" s="54" t="s">
        <v>290</v>
      </c>
      <c r="F67" s="3"/>
      <c r="G67" s="54" t="s">
        <v>184</v>
      </c>
      <c r="H67" s="3"/>
      <c r="I67" s="54" t="s">
        <v>291</v>
      </c>
      <c r="J67" s="3"/>
      <c r="K67" s="54" t="s">
        <v>186</v>
      </c>
      <c r="L67" s="3"/>
      <c r="M67" s="54" t="s">
        <v>187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</row>
    <row r="68" ht="15.75" hidden="1" customHeight="1">
      <c r="A68" s="3"/>
      <c r="B68" s="3"/>
      <c r="C68" s="54" t="s">
        <v>189</v>
      </c>
      <c r="D68" s="3"/>
      <c r="E68" s="54" t="s">
        <v>292</v>
      </c>
      <c r="F68" s="3"/>
      <c r="G68" s="54" t="s">
        <v>191</v>
      </c>
      <c r="H68" s="3"/>
      <c r="I68" s="54" t="s">
        <v>192</v>
      </c>
      <c r="J68" s="3"/>
      <c r="K68" s="54" t="s">
        <v>193</v>
      </c>
      <c r="L68" s="3"/>
      <c r="M68" s="54" t="s">
        <v>194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</row>
    <row r="69" ht="15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</row>
    <row r="70" ht="15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</row>
    <row r="71" ht="15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</row>
    <row r="72" ht="15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</row>
    <row r="73" ht="15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</row>
    <row r="74" ht="15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</row>
    <row r="75" ht="15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</row>
    <row r="76" ht="15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</row>
    <row r="77" ht="15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</row>
    <row r="78" ht="15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</row>
    <row r="79" ht="15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</row>
    <row r="80" ht="15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</row>
    <row r="81" ht="15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</row>
    <row r="82" ht="15.75" hidden="1" customHeight="1">
      <c r="A82" s="3"/>
      <c r="B82" s="3"/>
      <c r="C82" s="54" t="s">
        <v>204</v>
      </c>
      <c r="D82" s="3"/>
      <c r="E82" s="54" t="s">
        <v>205</v>
      </c>
      <c r="F82" s="3"/>
      <c r="G82" s="54" t="s">
        <v>206</v>
      </c>
      <c r="H82" s="3"/>
      <c r="I82" s="54" t="s">
        <v>207</v>
      </c>
      <c r="J82" s="3"/>
      <c r="K82" s="54" t="s">
        <v>208</v>
      </c>
      <c r="L82" s="3"/>
      <c r="M82" s="54" t="s">
        <v>209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</row>
    <row r="83" ht="15.75" hidden="1" customHeight="1">
      <c r="A83" s="3"/>
      <c r="B83" s="3"/>
      <c r="C83" s="54" t="s">
        <v>210</v>
      </c>
      <c r="D83" s="3"/>
      <c r="E83" s="54" t="s">
        <v>211</v>
      </c>
      <c r="F83" s="3"/>
      <c r="G83" s="54" t="s">
        <v>212</v>
      </c>
      <c r="H83" s="3"/>
      <c r="I83" s="54" t="s">
        <v>213</v>
      </c>
      <c r="J83" s="3"/>
      <c r="K83" s="54" t="s">
        <v>214</v>
      </c>
      <c r="L83" s="3"/>
      <c r="M83" s="54" t="s">
        <v>215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</row>
    <row r="84" ht="15.75" hidden="1" customHeight="1">
      <c r="A84" s="3"/>
      <c r="B84" s="3"/>
      <c r="C84" s="54" t="s">
        <v>216</v>
      </c>
      <c r="D84" s="3"/>
      <c r="E84" s="54" t="s">
        <v>217</v>
      </c>
      <c r="F84" s="3"/>
      <c r="G84" s="54" t="s">
        <v>218</v>
      </c>
      <c r="H84" s="3"/>
      <c r="I84" s="54" t="s">
        <v>219</v>
      </c>
      <c r="J84" s="3"/>
      <c r="K84" s="54" t="s">
        <v>220</v>
      </c>
      <c r="L84" s="3"/>
      <c r="M84" s="54" t="s">
        <v>221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</row>
    <row r="85" ht="15.75" hidden="1" customHeight="1">
      <c r="A85" s="3"/>
      <c r="B85" s="3"/>
      <c r="C85" s="54" t="s">
        <v>222</v>
      </c>
      <c r="D85" s="3"/>
      <c r="E85" s="54" t="s">
        <v>223</v>
      </c>
      <c r="F85" s="3"/>
      <c r="G85" s="54" t="s">
        <v>224</v>
      </c>
      <c r="H85" s="3"/>
      <c r="I85" s="54" t="s">
        <v>225</v>
      </c>
      <c r="J85" s="3"/>
      <c r="K85" s="54" t="s">
        <v>226</v>
      </c>
      <c r="L85" s="3"/>
      <c r="M85" s="54" t="s">
        <v>227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</row>
    <row r="86" ht="15.75" hidden="1" customHeight="1">
      <c r="A86" s="3"/>
      <c r="B86" s="3"/>
      <c r="C86" s="54" t="s">
        <v>228</v>
      </c>
      <c r="D86" s="3"/>
      <c r="E86" s="54" t="s">
        <v>229</v>
      </c>
      <c r="F86" s="3"/>
      <c r="G86" s="54" t="s">
        <v>230</v>
      </c>
      <c r="H86" s="3"/>
      <c r="I86" s="54" t="s">
        <v>231</v>
      </c>
      <c r="J86" s="3"/>
      <c r="K86" s="54" t="s">
        <v>232</v>
      </c>
      <c r="L86" s="3"/>
      <c r="M86" s="54" t="s">
        <v>233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</row>
    <row r="87" ht="15.75" hidden="1" customHeight="1">
      <c r="A87" s="3"/>
      <c r="B87" s="3"/>
      <c r="C87" s="54" t="s">
        <v>234</v>
      </c>
      <c r="D87" s="3"/>
      <c r="E87" s="54" t="s">
        <v>235</v>
      </c>
      <c r="F87" s="3"/>
      <c r="G87" s="54" t="s">
        <v>236</v>
      </c>
      <c r="H87" s="3"/>
      <c r="I87" s="54" t="s">
        <v>237</v>
      </c>
      <c r="J87" s="3"/>
      <c r="K87" s="54" t="s">
        <v>238</v>
      </c>
      <c r="L87" s="3"/>
      <c r="M87" s="54" t="s">
        <v>239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</row>
    <row r="88" ht="15.75" hidden="1" customHeight="1">
      <c r="A88" s="3"/>
      <c r="B88" s="3"/>
      <c r="C88" s="54" t="s">
        <v>240</v>
      </c>
      <c r="D88" s="3"/>
      <c r="E88" s="54" t="s">
        <v>241</v>
      </c>
      <c r="F88" s="3"/>
      <c r="G88" s="54" t="s">
        <v>242</v>
      </c>
      <c r="H88" s="3"/>
      <c r="I88" s="54" t="s">
        <v>243</v>
      </c>
      <c r="J88" s="3"/>
      <c r="K88" s="54" t="s">
        <v>244</v>
      </c>
      <c r="L88" s="3"/>
      <c r="M88" s="54" t="s">
        <v>245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</row>
    <row r="89" ht="15.75" hidden="1" customHeight="1">
      <c r="A89" s="3"/>
      <c r="B89" s="3"/>
      <c r="C89" s="54" t="s">
        <v>246</v>
      </c>
      <c r="D89" s="3"/>
      <c r="E89" s="54" t="s">
        <v>247</v>
      </c>
      <c r="F89" s="3"/>
      <c r="G89" s="54" t="s">
        <v>248</v>
      </c>
      <c r="H89" s="3"/>
      <c r="I89" s="54" t="s">
        <v>249</v>
      </c>
      <c r="J89" s="3"/>
      <c r="K89" s="54" t="s">
        <v>250</v>
      </c>
      <c r="L89" s="3"/>
      <c r="M89" s="54" t="s">
        <v>251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</row>
    <row r="90" ht="15.75" hidden="1" customHeight="1">
      <c r="A90" s="3"/>
      <c r="B90" s="3"/>
      <c r="C90" s="54" t="s">
        <v>252</v>
      </c>
      <c r="D90" s="3"/>
      <c r="E90" s="54" t="s">
        <v>253</v>
      </c>
      <c r="F90" s="3"/>
      <c r="G90" s="54" t="s">
        <v>254</v>
      </c>
      <c r="H90" s="3"/>
      <c r="I90" s="54" t="s">
        <v>255</v>
      </c>
      <c r="J90" s="3"/>
      <c r="K90" s="54" t="s">
        <v>256</v>
      </c>
      <c r="L90" s="3"/>
      <c r="M90" s="54" t="s">
        <v>257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</row>
    <row r="91" ht="15.75" hidden="1" customHeight="1">
      <c r="A91" s="3"/>
      <c r="B91" s="3"/>
      <c r="C91" s="54" t="s">
        <v>258</v>
      </c>
      <c r="D91" s="3"/>
      <c r="E91" s="54" t="s">
        <v>259</v>
      </c>
      <c r="F91" s="3"/>
      <c r="G91" s="54" t="s">
        <v>260</v>
      </c>
      <c r="H91" s="3"/>
      <c r="I91" s="54" t="s">
        <v>261</v>
      </c>
      <c r="J91" s="3"/>
      <c r="K91" s="54" t="s">
        <v>262</v>
      </c>
      <c r="L91" s="3"/>
      <c r="M91" s="54" t="s">
        <v>263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</row>
    <row r="92" ht="15.75" hidden="1" customHeight="1">
      <c r="A92" s="3"/>
      <c r="B92" s="3"/>
      <c r="C92" s="54" t="s">
        <v>264</v>
      </c>
      <c r="D92" s="3"/>
      <c r="E92" s="54" t="s">
        <v>265</v>
      </c>
      <c r="F92" s="3"/>
      <c r="G92" s="54" t="s">
        <v>266</v>
      </c>
      <c r="H92" s="3"/>
      <c r="I92" s="54" t="s">
        <v>267</v>
      </c>
      <c r="J92" s="3"/>
      <c r="K92" s="54" t="s">
        <v>268</v>
      </c>
      <c r="L92" s="3"/>
      <c r="M92" s="54" t="s">
        <v>269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</row>
    <row r="93" ht="15.75" hidden="1" customHeight="1">
      <c r="A93" s="3"/>
      <c r="B93" s="3"/>
      <c r="C93" s="54" t="s">
        <v>270</v>
      </c>
      <c r="D93" s="3"/>
      <c r="E93" s="54" t="s">
        <v>271</v>
      </c>
      <c r="F93" s="3"/>
      <c r="G93" s="54" t="s">
        <v>272</v>
      </c>
      <c r="H93" s="3"/>
      <c r="I93" s="54" t="s">
        <v>273</v>
      </c>
      <c r="J93" s="3"/>
      <c r="K93" s="54" t="s">
        <v>274</v>
      </c>
      <c r="L93" s="3"/>
      <c r="M93" s="54" t="s">
        <v>275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</row>
    <row r="94" ht="15.75" hidden="1" customHeight="1">
      <c r="A94" s="3"/>
      <c r="B94" s="3"/>
      <c r="C94" s="54" t="s">
        <v>276</v>
      </c>
      <c r="D94" s="3"/>
      <c r="E94" s="54" t="s">
        <v>293</v>
      </c>
      <c r="F94" s="3"/>
      <c r="G94" s="54" t="s">
        <v>278</v>
      </c>
      <c r="H94" s="3"/>
      <c r="I94" s="54" t="s">
        <v>279</v>
      </c>
      <c r="J94" s="3"/>
      <c r="K94" s="54" t="s">
        <v>280</v>
      </c>
      <c r="L94" s="3"/>
      <c r="M94" s="54" t="s">
        <v>281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</row>
    <row r="95" ht="15.75" hidden="1" customHeight="1">
      <c r="A95" s="3"/>
      <c r="B95" s="3"/>
      <c r="C95" s="54" t="s">
        <v>282</v>
      </c>
      <c r="D95" s="3"/>
      <c r="E95" s="54" t="s">
        <v>283</v>
      </c>
      <c r="F95" s="3"/>
      <c r="G95" s="54" t="s">
        <v>284</v>
      </c>
      <c r="H95" s="3"/>
      <c r="I95" s="54" t="s">
        <v>285</v>
      </c>
      <c r="J95" s="3"/>
      <c r="K95" s="54" t="s">
        <v>286</v>
      </c>
      <c r="L95" s="3"/>
      <c r="M95" s="54" t="s">
        <v>287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</row>
    <row r="96" ht="15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</row>
    <row r="97" ht="15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</row>
  </sheetData>
  <conditionalFormatting sqref="B3:B12 D3:D12 F3:F12 H3:H12 J3:J12 L3:L12">
    <cfRule type="cellIs" dxfId="0" priority="1" operator="lessThanOrEqual">
      <formula>30</formula>
    </cfRule>
  </conditionalFormatting>
  <conditionalFormatting sqref="B3:B12 D3:D12 F3:F12 H3:H12 J3:J12 L3:L12">
    <cfRule type="cellIs" dxfId="1" priority="2" operator="greaterThan">
      <formula>30</formula>
    </cfRule>
  </conditionalFormatting>
  <conditionalFormatting sqref="B13:B16 D13:D16 F13:F16 H13:H16 J13:J16 L13:L16">
    <cfRule type="cellIs" dxfId="0" priority="3" operator="lessThanOrEqual">
      <formula>90</formula>
    </cfRule>
  </conditionalFormatting>
  <conditionalFormatting sqref="B13:B16 D13:D16 F13:F16 H13:H16 J13:J16 L13:L16">
    <cfRule type="cellIs" dxfId="1" priority="4" operator="greaterThan">
      <formula>90</formula>
    </cfRule>
  </conditionalFormatting>
  <conditionalFormatting sqref="B21:B30 D21:D30 F21:F30 H21:H30 J21:J30 L21:L30">
    <cfRule type="cellIs" dxfId="0" priority="5" operator="lessThanOrEqual">
      <formula>30</formula>
    </cfRule>
  </conditionalFormatting>
  <conditionalFormatting sqref="B21:B30 D21:D30 F21:F30 H21:H30 J21:J30 L21:L30">
    <cfRule type="cellIs" dxfId="1" priority="6" operator="greaterThan">
      <formula>30</formula>
    </cfRule>
  </conditionalFormatting>
  <conditionalFormatting sqref="B31:B34 D31:D34 F31:F34 H31:H34 J31:J34 L31:L34">
    <cfRule type="cellIs" dxfId="0" priority="7" operator="lessThanOrEqual">
      <formula>90</formula>
    </cfRule>
  </conditionalFormatting>
  <conditionalFormatting sqref="B31:B34 D31:D34 F31:F34 H31:H34 J31:J34 L31:L34">
    <cfRule type="cellIs" dxfId="1" priority="8" operator="greaterThan">
      <formula>90</formula>
    </cfRule>
  </conditionalFormatting>
  <hyperlinks>
    <hyperlink r:id="rId1" ref="C17"/>
    <hyperlink r:id="rId2" ref="E17"/>
    <hyperlink r:id="rId3" ref="G17"/>
    <hyperlink r:id="rId4" ref="I17"/>
    <hyperlink r:id="rId5" ref="K17"/>
    <hyperlink r:id="rId6" ref="M17"/>
    <hyperlink r:id="rId7" ref="C18"/>
    <hyperlink r:id="rId8" ref="E18"/>
    <hyperlink r:id="rId9" ref="G18"/>
    <hyperlink r:id="rId10" ref="I18"/>
    <hyperlink r:id="rId11" ref="K18"/>
    <hyperlink r:id="rId12" ref="M18"/>
    <hyperlink r:id="rId13" ref="C35"/>
    <hyperlink r:id="rId14" ref="E35"/>
    <hyperlink r:id="rId15" ref="G35"/>
    <hyperlink r:id="rId16" ref="I35"/>
    <hyperlink r:id="rId17" ref="K35"/>
    <hyperlink r:id="rId18" ref="M35"/>
    <hyperlink r:id="rId19" ref="C36"/>
    <hyperlink r:id="rId20" ref="E36"/>
    <hyperlink r:id="rId21" ref="G36"/>
    <hyperlink r:id="rId22" ref="I36"/>
    <hyperlink r:id="rId23" ref="K36"/>
    <hyperlink r:id="rId24" ref="M36"/>
  </hyperlinks>
  <printOptions/>
  <pageMargins bottom="0.75" footer="0.0" header="0.0" left="0.7" right="0.7" top="0.75"/>
  <pageSetup orientation="landscape"/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7.14"/>
    <col customWidth="1" min="3" max="3" width="53.57"/>
    <col customWidth="1" min="4" max="13" width="6.71"/>
    <col customWidth="1" min="14" max="23" width="13.29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5" t="s">
        <v>294</v>
      </c>
      <c r="B2" s="45" t="s">
        <v>295</v>
      </c>
      <c r="C2" s="45" t="s">
        <v>296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2">
        <v>1.0</v>
      </c>
      <c r="B3" s="56" t="s">
        <v>297</v>
      </c>
      <c r="C3" s="57" t="s">
        <v>203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2">
        <f t="shared" ref="A4:A12" si="1">A3+1</f>
        <v>2</v>
      </c>
      <c r="B4" s="56" t="s">
        <v>4</v>
      </c>
      <c r="C4" s="58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2">
        <f t="shared" si="1"/>
        <v>3</v>
      </c>
      <c r="B5" s="56" t="s">
        <v>4</v>
      </c>
      <c r="C5" s="58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2">
        <f t="shared" si="1"/>
        <v>4</v>
      </c>
      <c r="B6" s="56" t="s">
        <v>4</v>
      </c>
      <c r="C6" s="58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2">
        <f t="shared" si="1"/>
        <v>5</v>
      </c>
      <c r="B7" s="56" t="s">
        <v>4</v>
      </c>
      <c r="C7" s="58" t="s">
        <v>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2">
        <f t="shared" si="1"/>
        <v>6</v>
      </c>
      <c r="B8" s="56" t="s">
        <v>4</v>
      </c>
      <c r="C8" s="58" t="s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2">
        <f t="shared" si="1"/>
        <v>7</v>
      </c>
      <c r="B9" s="56" t="s">
        <v>4</v>
      </c>
      <c r="C9" s="58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2">
        <f t="shared" si="1"/>
        <v>8</v>
      </c>
      <c r="B10" s="56" t="s">
        <v>4</v>
      </c>
      <c r="C10" s="58" t="s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2">
        <f t="shared" si="1"/>
        <v>9</v>
      </c>
      <c r="B11" s="56" t="s">
        <v>4</v>
      </c>
      <c r="C11" s="58" t="s">
        <v>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2">
        <f t="shared" si="1"/>
        <v>10</v>
      </c>
      <c r="B12" s="56" t="s">
        <v>4</v>
      </c>
      <c r="C12" s="58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2021-03-01T06:35:09Z</dcterms:created>
</cp:coreProperties>
</file>